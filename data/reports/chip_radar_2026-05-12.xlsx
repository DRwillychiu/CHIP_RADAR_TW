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17287</v>
      </c>
      <c r="F101" s="3" t="n">
        <v>16887</v>
      </c>
      <c r="G101" s="3" t="n">
        <v>180489</v>
      </c>
      <c r="H101" s="3" t="n">
        <v>176187</v>
      </c>
      <c r="I101" s="3" t="n">
        <v>4302</v>
      </c>
      <c r="J101" s="4" t="n">
        <v>104.41</v>
      </c>
      <c r="K101" s="4" t="n">
        <v>104.33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347</v>
      </c>
      <c r="F102" s="3" t="n">
        <v>40</v>
      </c>
      <c r="G102" s="3" t="n">
        <v>78060</v>
      </c>
      <c r="H102" s="3" t="n">
        <v>9050</v>
      </c>
      <c r="I102" s="3" t="n">
        <v>69010</v>
      </c>
      <c r="J102" s="4" t="n">
        <v>2249.56</v>
      </c>
      <c r="K102" s="4" t="n">
        <v>2262.5</v>
      </c>
      <c r="L102" s="6">
        <f>F102*(K102-J102)</f>
        <v/>
      </c>
    </row>
    <row r="103" ht="16.5" customHeight="1">
      <c r="D103" s="2" t="inlineStr">
        <is>
          <t>大立光(3008)</t>
        </is>
      </c>
      <c r="E103" s="3" t="n">
        <v>226</v>
      </c>
      <c r="F103" s="3" t="n">
        <v>25</v>
      </c>
      <c r="G103" s="3" t="n">
        <v>62914</v>
      </c>
      <c r="H103" s="3" t="n">
        <v>6979</v>
      </c>
      <c r="I103" s="3" t="n">
        <v>55935</v>
      </c>
      <c r="J103" s="4" t="n">
        <v>2783.81</v>
      </c>
      <c r="K103" s="4" t="n">
        <v>2791.6</v>
      </c>
      <c r="L103" s="6">
        <f>F103*(K103-J103)</f>
        <v/>
      </c>
    </row>
    <row r="104" ht="16.5" customHeight="1">
      <c r="D104" s="2" t="inlineStr">
        <is>
          <t>鴻勁(7769)</t>
        </is>
      </c>
      <c r="E104" s="3" t="n">
        <v>70</v>
      </c>
      <c r="F104" s="3" t="n">
        <v>2</v>
      </c>
      <c r="G104" s="3" t="n">
        <v>48403</v>
      </c>
      <c r="H104" s="3" t="n">
        <v>1539</v>
      </c>
      <c r="I104" s="3" t="n">
        <v>46864</v>
      </c>
      <c r="J104" s="4" t="n">
        <v>6914.66</v>
      </c>
      <c r="K104" s="4" t="n">
        <v>7693</v>
      </c>
      <c r="L104" s="6">
        <f>F104*(K104-J104)</f>
        <v/>
      </c>
    </row>
    <row r="105" ht="16.5" customHeight="1">
      <c r="D105" s="2" t="inlineStr">
        <is>
          <t>聯亞(3081)</t>
        </is>
      </c>
      <c r="E105" s="3" t="n">
        <v>138</v>
      </c>
      <c r="F105" s="3" t="n">
        <v>36</v>
      </c>
      <c r="G105" s="3" t="n">
        <v>42197</v>
      </c>
      <c r="H105" s="3" t="n">
        <v>10855</v>
      </c>
      <c r="I105" s="3" t="n">
        <v>31342</v>
      </c>
      <c r="J105" s="4" t="n">
        <v>3057.75</v>
      </c>
      <c r="K105" s="4" t="n">
        <v>3015.28</v>
      </c>
      <c r="L105" s="5">
        <f>F105*(K105-J105)</f>
        <v/>
      </c>
    </row>
    <row r="106" ht="16.5" customHeight="1">
      <c r="D106" s="2" t="inlineStr">
        <is>
          <t>雙鴻(3324)</t>
        </is>
      </c>
      <c r="E106" s="3" t="n">
        <v>309</v>
      </c>
      <c r="F106" s="3" t="n">
        <v>3</v>
      </c>
      <c r="G106" s="3" t="n">
        <v>33156</v>
      </c>
      <c r="H106" s="3" t="n">
        <v>268</v>
      </c>
      <c r="I106" s="3" t="n">
        <v>32888</v>
      </c>
      <c r="J106" s="4" t="n">
        <v>1073.01</v>
      </c>
      <c r="K106" s="4" t="n">
        <v>891.67</v>
      </c>
      <c r="L106" s="5">
        <f>F106*(K106-J106)</f>
        <v/>
      </c>
    </row>
    <row r="107" ht="16.5" customHeight="1">
      <c r="D107" s="2" t="inlineStr">
        <is>
          <t>欣興(3037)</t>
        </is>
      </c>
      <c r="E107" s="3" t="n">
        <v>349</v>
      </c>
      <c r="F107" s="3" t="n">
        <v>79</v>
      </c>
      <c r="G107" s="3" t="n">
        <v>30868</v>
      </c>
      <c r="H107" s="3" t="n">
        <v>7142</v>
      </c>
      <c r="I107" s="3" t="n">
        <v>23726</v>
      </c>
      <c r="J107" s="4" t="n">
        <v>884.47</v>
      </c>
      <c r="K107" s="4" t="n">
        <v>903.99</v>
      </c>
      <c r="L107" s="6">
        <f>F107*(K107-J107)</f>
        <v/>
      </c>
    </row>
    <row r="108" ht="16.5" customHeight="1">
      <c r="D108" s="2" t="inlineStr">
        <is>
          <t>群聯(8299)</t>
        </is>
      </c>
      <c r="E108" s="3" t="n">
        <v>110</v>
      </c>
      <c r="F108" s="3" t="n">
        <v>154</v>
      </c>
      <c r="G108" s="3" t="n">
        <v>29840</v>
      </c>
      <c r="H108" s="3" t="n">
        <v>41952</v>
      </c>
      <c r="I108" s="3" t="n">
        <v>-12112</v>
      </c>
      <c r="J108" s="4" t="n">
        <v>2712.7</v>
      </c>
      <c r="K108" s="4" t="n">
        <v>2724.16</v>
      </c>
      <c r="L108" s="6">
        <f>F108*(K108-J108)</f>
        <v/>
      </c>
    </row>
    <row r="109" ht="16.5" customHeight="1">
      <c r="D109" s="2" t="inlineStr">
        <is>
          <t>臻鼎-KY(4958)</t>
        </is>
      </c>
      <c r="E109" s="3" t="n">
        <v>611</v>
      </c>
      <c r="F109" s="3" t="n">
        <v>59</v>
      </c>
      <c r="G109" s="3" t="n">
        <v>25239</v>
      </c>
      <c r="H109" s="3" t="n">
        <v>2436</v>
      </c>
      <c r="I109" s="3" t="n">
        <v>22803</v>
      </c>
      <c r="J109" s="4" t="n">
        <v>413.08</v>
      </c>
      <c r="K109" s="4" t="n">
        <v>412.85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51</v>
      </c>
      <c r="F110" s="3" t="n">
        <v>176</v>
      </c>
      <c r="G110" s="3" t="n">
        <v>19617</v>
      </c>
      <c r="H110" s="3" t="n">
        <v>67752</v>
      </c>
      <c r="I110" s="3" t="n">
        <v>-48135</v>
      </c>
      <c r="J110" s="4" t="n">
        <v>3846.41</v>
      </c>
      <c r="K110" s="4" t="n">
        <v>3849.52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2428</v>
      </c>
      <c r="F112" s="3" t="n">
        <v>81</v>
      </c>
      <c r="G112" s="3" t="n">
        <v>25217</v>
      </c>
      <c r="H112" s="3" t="n">
        <v>816</v>
      </c>
      <c r="I112" s="3" t="n">
        <v>24401</v>
      </c>
      <c r="J112" s="4" t="n">
        <v>103.86</v>
      </c>
      <c r="K112" s="4" t="n">
        <v>100.74</v>
      </c>
      <c r="L112" s="5">
        <f>F112*(K112-J112)</f>
        <v/>
      </c>
    </row>
    <row r="113" ht="16.5" customHeight="1">
      <c r="D113" s="2" t="inlineStr">
        <is>
          <t>群創(3481)</t>
        </is>
      </c>
      <c r="E113" s="3" t="n">
        <v>2599</v>
      </c>
      <c r="F113" s="3" t="n">
        <v>256</v>
      </c>
      <c r="G113" s="3" t="n">
        <v>9190</v>
      </c>
      <c r="H113" s="3" t="n">
        <v>893</v>
      </c>
      <c r="I113" s="3" t="n">
        <v>8297</v>
      </c>
      <c r="J113" s="4" t="n">
        <v>35.36</v>
      </c>
      <c r="K113" s="4" t="n">
        <v>34.88</v>
      </c>
      <c r="L113" s="5">
        <f>F113*(K113-J113)</f>
        <v/>
      </c>
    </row>
    <row r="114" ht="16.5" customHeight="1">
      <c r="D114" s="2" t="inlineStr">
        <is>
          <t>華星光(4979)</t>
        </is>
      </c>
      <c r="E114" s="3" t="n">
        <v>112</v>
      </c>
      <c r="F114" s="3" t="n">
        <v>8</v>
      </c>
      <c r="G114" s="3" t="n">
        <v>7953</v>
      </c>
      <c r="H114" s="3" t="n">
        <v>558</v>
      </c>
      <c r="I114" s="3" t="n">
        <v>7395</v>
      </c>
      <c r="J114" s="4" t="n">
        <v>710.12</v>
      </c>
      <c r="K114" s="4" t="n">
        <v>697.25</v>
      </c>
      <c r="L114" s="5">
        <f>F114*(K114-J114)</f>
        <v/>
      </c>
    </row>
    <row r="115" ht="16.5" customHeight="1">
      <c r="D115" s="2" t="inlineStr">
        <is>
          <t>頎邦(6147)</t>
        </is>
      </c>
      <c r="E115" s="3" t="n">
        <v>322</v>
      </c>
      <c r="F115" s="3" t="n">
        <v>334</v>
      </c>
      <c r="G115" s="3" t="n">
        <v>6318</v>
      </c>
      <c r="H115" s="3" t="n">
        <v>6554</v>
      </c>
      <c r="I115" s="3" t="n">
        <v>-236</v>
      </c>
      <c r="J115" s="4" t="n">
        <v>196.22</v>
      </c>
      <c r="K115" s="4" t="n">
        <v>196.23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4424</v>
      </c>
      <c r="F116" s="3" t="n">
        <v>713</v>
      </c>
      <c r="G116" s="3" t="n">
        <v>4762</v>
      </c>
      <c r="H116" s="3" t="n">
        <v>765</v>
      </c>
      <c r="I116" s="3" t="n">
        <v>3997</v>
      </c>
      <c r="J116" s="4" t="n">
        <v>10.76</v>
      </c>
      <c r="K116" s="4" t="n">
        <v>10.73</v>
      </c>
      <c r="L116" s="5">
        <f>F116*(K116-J116)</f>
        <v/>
      </c>
    </row>
    <row r="117" ht="16.5" customHeight="1">
      <c r="D117" s="2" t="inlineStr">
        <is>
          <t>南亞科(2408)</t>
        </is>
      </c>
      <c r="E117" s="3" t="n">
        <v>105</v>
      </c>
      <c r="F117" s="3" t="n">
        <v>417</v>
      </c>
      <c r="G117" s="3" t="n">
        <v>3301</v>
      </c>
      <c r="H117" s="3" t="n">
        <v>13085</v>
      </c>
      <c r="I117" s="3" t="n">
        <v>-9784</v>
      </c>
      <c r="J117" s="4" t="n">
        <v>314.4</v>
      </c>
      <c r="K117" s="4" t="n">
        <v>313.79</v>
      </c>
      <c r="L117" s="5">
        <f>F117*(K117-J117)</f>
        <v/>
      </c>
    </row>
    <row r="118" ht="16.5" customHeight="1">
      <c r="D118" s="2" t="inlineStr">
        <is>
          <t>台積電(2330)</t>
        </is>
      </c>
      <c r="E118" s="3" t="n">
        <v>11</v>
      </c>
      <c r="F118" s="3" t="n">
        <v>4</v>
      </c>
      <c r="G118" s="3" t="n">
        <v>2504</v>
      </c>
      <c r="H118" s="3" t="n">
        <v>1004</v>
      </c>
      <c r="I118" s="3" t="n">
        <v>1500</v>
      </c>
      <c r="J118" s="4" t="n">
        <v>2275.91</v>
      </c>
      <c r="K118" s="4" t="n">
        <v>2511</v>
      </c>
      <c r="L118" s="6">
        <f>F118*(K118-J118)</f>
        <v/>
      </c>
    </row>
    <row r="119" ht="16.5" customHeight="1">
      <c r="D119" s="2" t="inlineStr">
        <is>
          <t>台達電(2308)</t>
        </is>
      </c>
      <c r="E119" s="3" t="n">
        <v>8</v>
      </c>
      <c r="F119" s="3" t="n">
        <v>1</v>
      </c>
      <c r="G119" s="3" t="n">
        <v>1711</v>
      </c>
      <c r="H119" s="3" t="n">
        <v>304</v>
      </c>
      <c r="I119" s="3" t="n">
        <v>1407</v>
      </c>
      <c r="J119" s="4" t="n">
        <v>2139</v>
      </c>
      <c r="K119" s="4" t="n">
        <v>3035</v>
      </c>
      <c r="L119" s="6">
        <f>F119*(K119-J119)</f>
        <v/>
      </c>
    </row>
    <row r="120" ht="16.5" customHeight="1">
      <c r="D120" s="2" t="inlineStr">
        <is>
          <t>聯發科(2454)</t>
        </is>
      </c>
      <c r="E120" s="3" t="n">
        <v>4</v>
      </c>
      <c r="F120" s="3" t="n">
        <v>2</v>
      </c>
      <c r="G120" s="3" t="n">
        <v>1502</v>
      </c>
      <c r="H120" s="3" t="n">
        <v>661</v>
      </c>
      <c r="I120" s="3" t="n">
        <v>841</v>
      </c>
      <c r="J120" s="4" t="n">
        <v>3755.75</v>
      </c>
      <c r="K120" s="4" t="n">
        <v>3306</v>
      </c>
      <c r="L120" s="5">
        <f>F120*(K120-J120)</f>
        <v/>
      </c>
    </row>
    <row r="121" ht="16.5" customHeight="1">
      <c r="D121" s="2" t="inlineStr">
        <is>
          <t>穩懋(3105)</t>
        </is>
      </c>
      <c r="E121" s="3" t="n">
        <v>29</v>
      </c>
      <c r="F121" s="3" t="n">
        <v>22</v>
      </c>
      <c r="G121" s="3" t="n">
        <v>1491</v>
      </c>
      <c r="H121" s="3" t="n">
        <v>1132</v>
      </c>
      <c r="I121" s="3" t="n">
        <v>359</v>
      </c>
      <c r="J121" s="4" t="n">
        <v>514.28</v>
      </c>
      <c r="K121" s="4" t="n">
        <v>514.6799999999999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23</v>
      </c>
      <c r="F123" s="3" t="n">
        <v>11</v>
      </c>
      <c r="G123" s="3" t="n">
        <v>8428</v>
      </c>
      <c r="H123" s="3" t="n">
        <v>3997</v>
      </c>
      <c r="I123" s="3" t="n">
        <v>4431</v>
      </c>
      <c r="J123" s="4" t="n">
        <v>3664.48</v>
      </c>
      <c r="K123" s="4" t="n">
        <v>3633.82</v>
      </c>
      <c r="L123" s="5">
        <f>F123*(K123-J123)</f>
        <v/>
      </c>
    </row>
    <row r="124" ht="16.5" customHeight="1">
      <c r="D124" s="2" t="inlineStr">
        <is>
          <t>群聯(8299)</t>
        </is>
      </c>
      <c r="E124" s="3" t="n">
        <v>22</v>
      </c>
      <c r="F124" s="3" t="n">
        <v>14</v>
      </c>
      <c r="G124" s="3" t="n">
        <v>5874</v>
      </c>
      <c r="H124" s="3" t="n">
        <v>3764</v>
      </c>
      <c r="I124" s="3" t="n">
        <v>2110</v>
      </c>
      <c r="J124" s="4" t="n">
        <v>2670.05</v>
      </c>
      <c r="K124" s="4" t="n">
        <v>2688.93</v>
      </c>
      <c r="L124" s="6">
        <f>F124*(K124-J124)</f>
        <v/>
      </c>
    </row>
    <row r="125" ht="16.5" customHeight="1">
      <c r="D125" s="2" t="inlineStr">
        <is>
          <t>主動統一升級50(00403A)</t>
        </is>
      </c>
      <c r="E125" s="3" t="n">
        <v>4747</v>
      </c>
      <c r="F125" s="3" t="n">
        <v>2322</v>
      </c>
      <c r="G125" s="3" t="n">
        <v>5103</v>
      </c>
      <c r="H125" s="3" t="n">
        <v>2498</v>
      </c>
      <c r="I125" s="3" t="n">
        <v>2605</v>
      </c>
      <c r="J125" s="4" t="n">
        <v>10.75</v>
      </c>
      <c r="K125" s="4" t="n">
        <v>10.76</v>
      </c>
      <c r="L125" s="6">
        <f>F125*(K125-J125)</f>
        <v/>
      </c>
    </row>
    <row r="126" ht="16.5" customHeight="1">
      <c r="D126" s="2" t="inlineStr">
        <is>
          <t>南亞科(2408)</t>
        </is>
      </c>
      <c r="E126" s="3" t="n">
        <v>129</v>
      </c>
      <c r="F126" s="3" t="n">
        <v>151</v>
      </c>
      <c r="G126" s="3" t="n">
        <v>4128</v>
      </c>
      <c r="H126" s="3" t="n">
        <v>4846</v>
      </c>
      <c r="I126" s="3" t="n">
        <v>-718</v>
      </c>
      <c r="J126" s="4" t="n">
        <v>320</v>
      </c>
      <c r="K126" s="4" t="n">
        <v>320.94</v>
      </c>
      <c r="L126" s="6">
        <f>F126*(K126-J126)</f>
        <v/>
      </c>
    </row>
    <row r="127" ht="16.5" customHeight="1">
      <c r="D127" s="2" t="inlineStr">
        <is>
          <t>臻鼎-KY(4958)</t>
        </is>
      </c>
      <c r="E127" s="3" t="n">
        <v>96</v>
      </c>
      <c r="F127" s="3" t="n">
        <v>66</v>
      </c>
      <c r="G127" s="3" t="n">
        <v>3892</v>
      </c>
      <c r="H127" s="3" t="n">
        <v>2680</v>
      </c>
      <c r="I127" s="3" t="n">
        <v>1212</v>
      </c>
      <c r="J127" s="4" t="n">
        <v>405.38</v>
      </c>
      <c r="K127" s="4" t="n">
        <v>406.09</v>
      </c>
      <c r="L127" s="6">
        <f>F127*(K127-J127)</f>
        <v/>
      </c>
    </row>
    <row r="128" ht="16.5" customHeight="1">
      <c r="D128" s="2" t="inlineStr">
        <is>
          <t>智邦(2345)</t>
        </is>
      </c>
      <c r="E128" s="3" t="n">
        <v>15</v>
      </c>
      <c r="F128" s="3" t="n">
        <v>2</v>
      </c>
      <c r="G128" s="3" t="n">
        <v>3707</v>
      </c>
      <c r="H128" s="3" t="n">
        <v>601</v>
      </c>
      <c r="I128" s="3" t="n">
        <v>3106</v>
      </c>
      <c r="J128" s="4" t="n">
        <v>2471.47</v>
      </c>
      <c r="K128" s="4" t="n">
        <v>3005.5</v>
      </c>
      <c r="L128" s="6">
        <f>F128*(K128-J128)</f>
        <v/>
      </c>
    </row>
    <row r="129" ht="16.5" customHeight="1">
      <c r="D129" s="2" t="inlineStr">
        <is>
          <t>景碩(3189)</t>
        </is>
      </c>
      <c r="E129" s="3" t="n">
        <v>74</v>
      </c>
      <c r="F129" s="3" t="n">
        <v>7</v>
      </c>
      <c r="G129" s="3" t="n">
        <v>3699</v>
      </c>
      <c r="H129" s="3" t="n">
        <v>361</v>
      </c>
      <c r="I129" s="3" t="n">
        <v>3338</v>
      </c>
      <c r="J129" s="4" t="n">
        <v>499.85</v>
      </c>
      <c r="K129" s="4" t="n">
        <v>515.71</v>
      </c>
      <c r="L129" s="6">
        <f>F129*(K129-J129)</f>
        <v/>
      </c>
    </row>
    <row r="130" ht="16.5" customHeight="1">
      <c r="D130" s="2" t="inlineStr">
        <is>
          <t>台積電(2330)</t>
        </is>
      </c>
      <c r="E130" s="3" t="n">
        <v>16</v>
      </c>
      <c r="F130" s="3" t="n">
        <v>8</v>
      </c>
      <c r="G130" s="3" t="n">
        <v>3647</v>
      </c>
      <c r="H130" s="3" t="n">
        <v>1878</v>
      </c>
      <c r="I130" s="3" t="n">
        <v>1769</v>
      </c>
      <c r="J130" s="4" t="n">
        <v>2279.5</v>
      </c>
      <c r="K130" s="4" t="n">
        <v>2347.62</v>
      </c>
      <c r="L130" s="6">
        <f>F130*(K130-J130)</f>
        <v/>
      </c>
    </row>
    <row r="131" ht="16.5" customHeight="1">
      <c r="D131" s="2" t="inlineStr">
        <is>
          <t>創意(3443)</t>
        </is>
      </c>
      <c r="E131" s="3" t="n">
        <v>6</v>
      </c>
      <c r="F131" s="3" t="n">
        <v>1</v>
      </c>
      <c r="G131" s="3" t="n">
        <v>3412</v>
      </c>
      <c r="H131" s="3" t="n">
        <v>10</v>
      </c>
      <c r="I131" s="3" t="n">
        <v>3402</v>
      </c>
      <c r="J131" s="4" t="n">
        <v>5686.83</v>
      </c>
      <c r="K131" s="4" t="n">
        <v>95</v>
      </c>
      <c r="L131" s="5">
        <f>F131*(K131-J131)</f>
        <v/>
      </c>
    </row>
    <row r="132" ht="16.5" customHeight="1">
      <c r="D132" s="2" t="inlineStr">
        <is>
          <t>台達電(2308)</t>
        </is>
      </c>
      <c r="E132" s="3" t="n">
        <v>14</v>
      </c>
      <c r="F132" s="3" t="n">
        <v>6</v>
      </c>
      <c r="G132" s="3" t="n">
        <v>2984</v>
      </c>
      <c r="H132" s="3" t="n">
        <v>1398</v>
      </c>
      <c r="I132" s="3" t="n">
        <v>1586</v>
      </c>
      <c r="J132" s="4" t="n">
        <v>2131.43</v>
      </c>
      <c r="K132" s="4" t="n">
        <v>2330.17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2049</v>
      </c>
      <c r="F134" s="3" t="n">
        <v>699</v>
      </c>
      <c r="G134" s="3" t="n">
        <v>462367</v>
      </c>
      <c r="H134" s="3" t="n">
        <v>157137</v>
      </c>
      <c r="I134" s="3" t="n">
        <v>305230</v>
      </c>
      <c r="J134" s="4" t="n">
        <v>2256.55</v>
      </c>
      <c r="K134" s="4" t="n">
        <v>2248.02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39423</v>
      </c>
      <c r="F135" s="3" t="n">
        <v>493</v>
      </c>
      <c r="G135" s="3" t="n">
        <v>101224</v>
      </c>
      <c r="H135" s="3" t="n">
        <v>1268</v>
      </c>
      <c r="I135" s="3" t="n">
        <v>99956</v>
      </c>
      <c r="J135" s="4" t="n">
        <v>25.68</v>
      </c>
      <c r="K135" s="4" t="n">
        <v>25.71</v>
      </c>
      <c r="L135" s="6">
        <f>F135*(K135-J135)</f>
        <v/>
      </c>
    </row>
    <row r="136" ht="16.5" customHeight="1">
      <c r="D136" s="2" t="inlineStr">
        <is>
          <t>群聯(8299)</t>
        </is>
      </c>
      <c r="E136" s="3" t="n">
        <v>320</v>
      </c>
      <c r="F136" s="3" t="n">
        <v>64</v>
      </c>
      <c r="G136" s="3" t="n">
        <v>87224</v>
      </c>
      <c r="H136" s="3" t="n">
        <v>17569</v>
      </c>
      <c r="I136" s="3" t="n">
        <v>69655</v>
      </c>
      <c r="J136" s="4" t="n">
        <v>2725.76</v>
      </c>
      <c r="K136" s="4" t="n">
        <v>2745.11</v>
      </c>
      <c r="L136" s="6">
        <f>F136*(K136-J136)</f>
        <v/>
      </c>
    </row>
    <row r="137" ht="16.5" customHeight="1">
      <c r="D137" s="2" t="inlineStr">
        <is>
          <t>奇鋐(3017)</t>
        </is>
      </c>
      <c r="E137" s="3" t="n">
        <v>190</v>
      </c>
      <c r="F137" s="3" t="n">
        <v>79</v>
      </c>
      <c r="G137" s="3" t="n">
        <v>47805</v>
      </c>
      <c r="H137" s="3" t="n">
        <v>19810</v>
      </c>
      <c r="I137" s="3" t="n">
        <v>27995</v>
      </c>
      <c r="J137" s="4" t="n">
        <v>2516.03</v>
      </c>
      <c r="K137" s="4" t="n">
        <v>2507.57</v>
      </c>
      <c r="L137" s="5">
        <f>F137*(K137-J137)</f>
        <v/>
      </c>
    </row>
    <row r="138" ht="16.5" customHeight="1">
      <c r="D138" s="2" t="inlineStr">
        <is>
          <t>華通(2313)</t>
        </is>
      </c>
      <c r="E138" s="3" t="n">
        <v>1824</v>
      </c>
      <c r="F138" s="3" t="n">
        <v>136</v>
      </c>
      <c r="G138" s="3" t="n">
        <v>47309</v>
      </c>
      <c r="H138" s="3" t="n">
        <v>3503</v>
      </c>
      <c r="I138" s="3" t="n">
        <v>43806</v>
      </c>
      <c r="J138" s="4" t="n">
        <v>259.37</v>
      </c>
      <c r="K138" s="4" t="n">
        <v>257.54</v>
      </c>
      <c r="L138" s="5">
        <f>F138*(K138-J138)</f>
        <v/>
      </c>
    </row>
    <row r="139" ht="16.5" customHeight="1">
      <c r="D139" s="2" t="inlineStr">
        <is>
          <t>復華台灣科技優息(00929)</t>
        </is>
      </c>
      <c r="E139" s="3" t="n">
        <v>14091</v>
      </c>
      <c r="F139" s="3" t="n">
        <v>214</v>
      </c>
      <c r="G139" s="3" t="n">
        <v>36671</v>
      </c>
      <c r="H139" s="3" t="n">
        <v>550</v>
      </c>
      <c r="I139" s="3" t="n">
        <v>36121</v>
      </c>
      <c r="J139" s="4" t="n">
        <v>26.02</v>
      </c>
      <c r="K139" s="4" t="n">
        <v>25.68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11574</v>
      </c>
      <c r="F140" s="3" t="n">
        <v>1009</v>
      </c>
      <c r="G140" s="3" t="n">
        <v>32735</v>
      </c>
      <c r="H140" s="3" t="n">
        <v>2834</v>
      </c>
      <c r="I140" s="3" t="n">
        <v>29901</v>
      </c>
      <c r="J140" s="4" t="n">
        <v>28.28</v>
      </c>
      <c r="K140" s="4" t="n">
        <v>28.09</v>
      </c>
      <c r="L140" s="5">
        <f>F140*(K140-J140)</f>
        <v/>
      </c>
    </row>
    <row r="141" ht="16.5" customHeight="1">
      <c r="D141" s="2" t="inlineStr">
        <is>
          <t>國巨*(2327)</t>
        </is>
      </c>
      <c r="E141" s="3" t="n">
        <v>755</v>
      </c>
      <c r="F141" s="3" t="n">
        <v>386</v>
      </c>
      <c r="G141" s="3" t="n">
        <v>31688</v>
      </c>
      <c r="H141" s="3" t="n">
        <v>16179</v>
      </c>
      <c r="I141" s="3" t="n">
        <v>15509</v>
      </c>
      <c r="J141" s="4" t="n">
        <v>419.7</v>
      </c>
      <c r="K141" s="4" t="n">
        <v>419.14</v>
      </c>
      <c r="L141" s="5">
        <f>F141*(K141-J141)</f>
        <v/>
      </c>
    </row>
    <row r="142" ht="16.5" customHeight="1">
      <c r="D142" s="2" t="inlineStr">
        <is>
          <t>譜瑞-KY(4966)</t>
        </is>
      </c>
      <c r="E142" s="3" t="n">
        <v>348</v>
      </c>
      <c r="F142" s="3" t="n">
        <v>67</v>
      </c>
      <c r="G142" s="3" t="n">
        <v>26479</v>
      </c>
      <c r="H142" s="3" t="n">
        <v>5088</v>
      </c>
      <c r="I142" s="3" t="n">
        <v>21391</v>
      </c>
      <c r="J142" s="4" t="n">
        <v>760.89</v>
      </c>
      <c r="K142" s="4" t="n">
        <v>759.36</v>
      </c>
      <c r="L142" s="5">
        <f>F142*(K142-J142)</f>
        <v/>
      </c>
    </row>
    <row r="143" ht="16.5" customHeight="1">
      <c r="D143" s="2" t="inlineStr">
        <is>
          <t>大華優利高填息30(00918)</t>
        </is>
      </c>
      <c r="E143" s="3" t="n">
        <v>9988</v>
      </c>
      <c r="F143" s="3" t="n">
        <v>7</v>
      </c>
      <c r="G143" s="3" t="n">
        <v>25505</v>
      </c>
      <c r="H143" s="3" t="n">
        <v>18</v>
      </c>
      <c r="I143" s="3" t="n">
        <v>25487</v>
      </c>
      <c r="J143" s="4" t="n">
        <v>25.54</v>
      </c>
      <c r="K143" s="4" t="n">
        <v>25.43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346</v>
      </c>
      <c r="F145" s="3" t="n">
        <v>11</v>
      </c>
      <c r="G145" s="3" t="n">
        <v>197019</v>
      </c>
      <c r="H145" s="3" t="n">
        <v>5996</v>
      </c>
      <c r="I145" s="3" t="n">
        <v>191023</v>
      </c>
      <c r="J145" s="4" t="n">
        <v>5694.19</v>
      </c>
      <c r="K145" s="4" t="n">
        <v>5450.64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555</v>
      </c>
      <c r="F146" s="3" t="n">
        <v>5</v>
      </c>
      <c r="G146" s="3" t="n">
        <v>122734</v>
      </c>
      <c r="H146" s="3" t="n">
        <v>1150</v>
      </c>
      <c r="I146" s="3" t="n">
        <v>121584</v>
      </c>
      <c r="J146" s="4" t="n">
        <v>2211.43</v>
      </c>
      <c r="K146" s="4" t="n">
        <v>2299</v>
      </c>
      <c r="L146" s="6">
        <f>F146*(K146-J146)</f>
        <v/>
      </c>
    </row>
    <row r="147" ht="16.5" customHeight="1">
      <c r="D147" s="2" t="inlineStr">
        <is>
          <t>南亞科(2408)</t>
        </is>
      </c>
      <c r="E147" s="3" t="n">
        <v>3355</v>
      </c>
      <c r="F147" s="3" t="n">
        <v>350</v>
      </c>
      <c r="G147" s="3" t="n">
        <v>105639</v>
      </c>
      <c r="H147" s="3" t="n">
        <v>11131</v>
      </c>
      <c r="I147" s="3" t="n">
        <v>94508</v>
      </c>
      <c r="J147" s="4" t="n">
        <v>314.87</v>
      </c>
      <c r="K147" s="4" t="n">
        <v>318.04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934</v>
      </c>
      <c r="F148" s="3" t="n">
        <v>46</v>
      </c>
      <c r="G148" s="3" t="n">
        <v>71088</v>
      </c>
      <c r="H148" s="3" t="n">
        <v>3456</v>
      </c>
      <c r="I148" s="3" t="n">
        <v>67632</v>
      </c>
      <c r="J148" s="4" t="n">
        <v>761.12</v>
      </c>
      <c r="K148" s="4" t="n">
        <v>751.35</v>
      </c>
      <c r="L148" s="5">
        <f>F148*(K148-J148)</f>
        <v/>
      </c>
    </row>
    <row r="149" ht="16.5" customHeight="1">
      <c r="D149" s="2" t="inlineStr">
        <is>
          <t>文曄(3036)</t>
        </is>
      </c>
      <c r="E149" s="3" t="n">
        <v>1534</v>
      </c>
      <c r="F149" s="3" t="n">
        <v>544</v>
      </c>
      <c r="G149" s="3" t="n">
        <v>42396</v>
      </c>
      <c r="H149" s="3" t="n">
        <v>14879</v>
      </c>
      <c r="I149" s="3" t="n">
        <v>27517</v>
      </c>
      <c r="J149" s="4" t="n">
        <v>276.38</v>
      </c>
      <c r="K149" s="4" t="n">
        <v>273.51</v>
      </c>
      <c r="L149" s="5">
        <f>F149*(K149-J149)</f>
        <v/>
      </c>
    </row>
    <row r="150" ht="16.5" customHeight="1">
      <c r="D150" s="2" t="inlineStr">
        <is>
          <t>國巨*(2327)</t>
        </is>
      </c>
      <c r="E150" s="3" t="n">
        <v>901</v>
      </c>
      <c r="F150" s="3" t="n">
        <v>337</v>
      </c>
      <c r="G150" s="3" t="n">
        <v>38082</v>
      </c>
      <c r="H150" s="3" t="n">
        <v>14022</v>
      </c>
      <c r="I150" s="3" t="n">
        <v>24060</v>
      </c>
      <c r="J150" s="4" t="n">
        <v>422.67</v>
      </c>
      <c r="K150" s="4" t="n">
        <v>416.09</v>
      </c>
      <c r="L150" s="5">
        <f>F150*(K150-J150)</f>
        <v/>
      </c>
    </row>
    <row r="151" ht="16.5" customHeight="1">
      <c r="D151" s="2" t="inlineStr">
        <is>
          <t>元太(8069)</t>
        </is>
      </c>
      <c r="E151" s="3" t="n">
        <v>1928</v>
      </c>
      <c r="F151" s="3" t="n">
        <v>167</v>
      </c>
      <c r="G151" s="3" t="n">
        <v>37684</v>
      </c>
      <c r="H151" s="3" t="n">
        <v>3264</v>
      </c>
      <c r="I151" s="3" t="n">
        <v>34420</v>
      </c>
      <c r="J151" s="4" t="n">
        <v>195.45</v>
      </c>
      <c r="K151" s="4" t="n">
        <v>195.47</v>
      </c>
      <c r="L151" s="6">
        <f>F151*(K151-J151)</f>
        <v/>
      </c>
    </row>
    <row r="152" ht="16.5" customHeight="1">
      <c r="D152" s="2" t="inlineStr">
        <is>
          <t>台積電(2330)</t>
        </is>
      </c>
      <c r="E152" s="3" t="n">
        <v>161</v>
      </c>
      <c r="F152" s="3" t="n">
        <v>104</v>
      </c>
      <c r="G152" s="3" t="n">
        <v>36253</v>
      </c>
      <c r="H152" s="3" t="n">
        <v>23388</v>
      </c>
      <c r="I152" s="3" t="n">
        <v>12865</v>
      </c>
      <c r="J152" s="4" t="n">
        <v>2251.75</v>
      </c>
      <c r="K152" s="4" t="n">
        <v>2248.82</v>
      </c>
      <c r="L152" s="5">
        <f>F152*(K152-J152)</f>
        <v/>
      </c>
    </row>
    <row r="153" ht="16.5" customHeight="1">
      <c r="D153" s="2" t="inlineStr">
        <is>
          <t>聯發科(2454)</t>
        </is>
      </c>
      <c r="E153" s="3" t="n">
        <v>58</v>
      </c>
      <c r="F153" s="3" t="n">
        <v>93</v>
      </c>
      <c r="G153" s="3" t="n">
        <v>21353</v>
      </c>
      <c r="H153" s="3" t="n">
        <v>34489</v>
      </c>
      <c r="I153" s="3" t="n">
        <v>-13136</v>
      </c>
      <c r="J153" s="4" t="n">
        <v>3681.62</v>
      </c>
      <c r="K153" s="4" t="n">
        <v>3708.54</v>
      </c>
      <c r="L153" s="6">
        <f>F153*(K153-J153)</f>
        <v/>
      </c>
    </row>
    <row r="154" ht="16.5" customHeight="1">
      <c r="D154" s="2" t="inlineStr">
        <is>
          <t>聯鈞(3450)</t>
        </is>
      </c>
      <c r="E154" s="3" t="n">
        <v>418</v>
      </c>
      <c r="F154" s="3" t="n">
        <v>249</v>
      </c>
      <c r="G154" s="3" t="n">
        <v>19568</v>
      </c>
      <c r="H154" s="3" t="n">
        <v>11664</v>
      </c>
      <c r="I154" s="3" t="n">
        <v>7904</v>
      </c>
      <c r="J154" s="4" t="n">
        <v>468.14</v>
      </c>
      <c r="K154" s="4" t="n">
        <v>468.43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7376</v>
      </c>
      <c r="F156" s="3" t="n">
        <v>8959</v>
      </c>
      <c r="G156" s="3" t="n">
        <v>231873</v>
      </c>
      <c r="H156" s="3" t="n">
        <v>281870</v>
      </c>
      <c r="I156" s="3" t="n">
        <v>-49997</v>
      </c>
      <c r="J156" s="4" t="n">
        <v>314.36</v>
      </c>
      <c r="K156" s="4" t="n">
        <v>314.62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4685</v>
      </c>
      <c r="F157" s="3" t="n">
        <v>782</v>
      </c>
      <c r="G157" s="3" t="n">
        <v>56372</v>
      </c>
      <c r="H157" s="3" t="n">
        <v>9387</v>
      </c>
      <c r="I157" s="3" t="n">
        <v>46985</v>
      </c>
      <c r="J157" s="4" t="n">
        <v>120.33</v>
      </c>
      <c r="K157" s="4" t="n">
        <v>120.04</v>
      </c>
      <c r="L157" s="5">
        <f>F157*(K157-J157)</f>
        <v/>
      </c>
    </row>
    <row r="158" ht="16.5" customHeight="1">
      <c r="D158" s="2" t="inlineStr">
        <is>
          <t>元太(8069)</t>
        </is>
      </c>
      <c r="E158" s="3" t="n">
        <v>1952</v>
      </c>
      <c r="F158" s="3" t="n">
        <v>1385</v>
      </c>
      <c r="G158" s="3" t="n">
        <v>38152</v>
      </c>
      <c r="H158" s="3" t="n">
        <v>27075</v>
      </c>
      <c r="I158" s="3" t="n">
        <v>11077</v>
      </c>
      <c r="J158" s="4" t="n">
        <v>195.45</v>
      </c>
      <c r="K158" s="4" t="n">
        <v>195.49</v>
      </c>
      <c r="L158" s="6">
        <f>F158*(K158-J158)</f>
        <v/>
      </c>
    </row>
    <row r="159" ht="16.5" customHeight="1">
      <c r="D159" s="2" t="inlineStr">
        <is>
          <t>群聯(8299)</t>
        </is>
      </c>
      <c r="E159" s="3" t="n">
        <v>99</v>
      </c>
      <c r="F159" s="3" t="n">
        <v>50</v>
      </c>
      <c r="G159" s="3" t="n">
        <v>27063</v>
      </c>
      <c r="H159" s="3" t="n">
        <v>13739</v>
      </c>
      <c r="I159" s="3" t="n">
        <v>13324</v>
      </c>
      <c r="J159" s="4" t="n">
        <v>2733.66</v>
      </c>
      <c r="K159" s="4" t="n">
        <v>2747.76</v>
      </c>
      <c r="L159" s="6">
        <f>F159*(K159-J159)</f>
        <v/>
      </c>
    </row>
    <row r="160" ht="16.5" customHeight="1">
      <c r="D160" s="2" t="inlineStr">
        <is>
          <t>緯穎(6669)</t>
        </is>
      </c>
      <c r="E160" s="3" t="n">
        <v>42</v>
      </c>
      <c r="F160" s="3" t="n">
        <v>8</v>
      </c>
      <c r="G160" s="3" t="n">
        <v>24258</v>
      </c>
      <c r="H160" s="3" t="n">
        <v>4407</v>
      </c>
      <c r="I160" s="3" t="n">
        <v>19851</v>
      </c>
      <c r="J160" s="4" t="n">
        <v>5775.71</v>
      </c>
      <c r="K160" s="4" t="n">
        <v>5508.38</v>
      </c>
      <c r="L160" s="5">
        <f>F160*(K160-J160)</f>
        <v/>
      </c>
    </row>
    <row r="161" ht="16.5" customHeight="1">
      <c r="D161" s="2" t="inlineStr">
        <is>
          <t>華碩(2357)</t>
        </is>
      </c>
      <c r="E161" s="3" t="n">
        <v>329</v>
      </c>
      <c r="F161" s="3" t="n">
        <v>134</v>
      </c>
      <c r="G161" s="3" t="n">
        <v>22346</v>
      </c>
      <c r="H161" s="3" t="n">
        <v>9035</v>
      </c>
      <c r="I161" s="3" t="n">
        <v>13311</v>
      </c>
      <c r="J161" s="4" t="n">
        <v>679.2</v>
      </c>
      <c r="K161" s="4" t="n">
        <v>674.22</v>
      </c>
      <c r="L161" s="5">
        <f>F161*(K161-J161)</f>
        <v/>
      </c>
    </row>
    <row r="162" ht="16.5" customHeight="1">
      <c r="D162" s="2" t="inlineStr">
        <is>
          <t>國巨*(2327)</t>
        </is>
      </c>
      <c r="E162" s="3" t="n">
        <v>537</v>
      </c>
      <c r="F162" s="3" t="n">
        <v>256</v>
      </c>
      <c r="G162" s="3" t="n">
        <v>22063</v>
      </c>
      <c r="H162" s="3" t="n">
        <v>10637</v>
      </c>
      <c r="I162" s="3" t="n">
        <v>11426</v>
      </c>
      <c r="J162" s="4" t="n">
        <v>410.85</v>
      </c>
      <c r="K162" s="4" t="n">
        <v>415.51</v>
      </c>
      <c r="L162" s="6">
        <f>F162*(K162-J162)</f>
        <v/>
      </c>
    </row>
    <row r="163" ht="16.5" customHeight="1">
      <c r="D163" s="2" t="inlineStr">
        <is>
          <t>中華電(2412)</t>
        </is>
      </c>
      <c r="E163" s="3" t="n">
        <v>1503</v>
      </c>
      <c r="F163" s="3" t="n">
        <v>216</v>
      </c>
      <c r="G163" s="3" t="n">
        <v>20444</v>
      </c>
      <c r="H163" s="3" t="n">
        <v>2948</v>
      </c>
      <c r="I163" s="3" t="n">
        <v>17496</v>
      </c>
      <c r="J163" s="4" t="n">
        <v>136.02</v>
      </c>
      <c r="K163" s="4" t="n">
        <v>136.46</v>
      </c>
      <c r="L163" s="6">
        <f>F163*(K163-J163)</f>
        <v/>
      </c>
    </row>
    <row r="164" ht="16.5" customHeight="1">
      <c r="D164" s="2" t="inlineStr">
        <is>
          <t>勤誠(8210)</t>
        </is>
      </c>
      <c r="E164" s="3" t="n">
        <v>123</v>
      </c>
      <c r="F164" s="3" t="n">
        <v>22</v>
      </c>
      <c r="G164" s="3" t="n">
        <v>19055</v>
      </c>
      <c r="H164" s="3" t="n">
        <v>3387</v>
      </c>
      <c r="I164" s="3" t="n">
        <v>15668</v>
      </c>
      <c r="J164" s="4" t="n">
        <v>1549.16</v>
      </c>
      <c r="K164" s="4" t="n">
        <v>1539.45</v>
      </c>
      <c r="L164" s="5">
        <f>F164*(K164-J164)</f>
        <v/>
      </c>
    </row>
    <row r="165" ht="16.5" customHeight="1">
      <c r="D165" s="2" t="inlineStr">
        <is>
          <t>世芯-KY(3661)</t>
        </is>
      </c>
      <c r="E165" s="3" t="n">
        <v>36</v>
      </c>
      <c r="F165" s="3" t="n">
        <v>3</v>
      </c>
      <c r="G165" s="3" t="n">
        <v>18903</v>
      </c>
      <c r="H165" s="3" t="n">
        <v>1819</v>
      </c>
      <c r="I165" s="3" t="n">
        <v>17084</v>
      </c>
      <c r="J165" s="4" t="n">
        <v>5250.94</v>
      </c>
      <c r="K165" s="4" t="n">
        <v>6064.67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1768</v>
      </c>
      <c r="F178" s="3" t="n">
        <v>486</v>
      </c>
      <c r="G178" s="3" t="n">
        <v>55796</v>
      </c>
      <c r="H178" s="3" t="n">
        <v>15375</v>
      </c>
      <c r="I178" s="3" t="n">
        <v>40421</v>
      </c>
      <c r="J178" s="4" t="n">
        <v>315.59</v>
      </c>
      <c r="K178" s="4" t="n">
        <v>316.36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4446</v>
      </c>
      <c r="F179" s="3" t="n">
        <v>268</v>
      </c>
      <c r="G179" s="3" t="n">
        <v>53924</v>
      </c>
      <c r="H179" s="3" t="n">
        <v>3222</v>
      </c>
      <c r="I179" s="3" t="n">
        <v>50702</v>
      </c>
      <c r="J179" s="4" t="n">
        <v>121.29</v>
      </c>
      <c r="K179" s="4" t="n">
        <v>120.23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919</v>
      </c>
      <c r="F180" s="3" t="n">
        <v>13</v>
      </c>
      <c r="G180" s="3" t="n">
        <v>47166</v>
      </c>
      <c r="H180" s="3" t="n">
        <v>673</v>
      </c>
      <c r="I180" s="3" t="n">
        <v>46493</v>
      </c>
      <c r="J180" s="4" t="n">
        <v>513.23</v>
      </c>
      <c r="K180" s="4" t="n">
        <v>517.85</v>
      </c>
      <c r="L180" s="6">
        <f>F180*(K180-J180)</f>
        <v/>
      </c>
    </row>
    <row r="181" ht="16.5" customHeight="1">
      <c r="D181" s="2" t="inlineStr">
        <is>
          <t>華新科(2492)</t>
        </is>
      </c>
      <c r="E181" s="3" t="n">
        <v>2171</v>
      </c>
      <c r="F181" s="3" t="n">
        <v>43</v>
      </c>
      <c r="G181" s="3" t="n">
        <v>39823</v>
      </c>
      <c r="H181" s="3" t="n">
        <v>796</v>
      </c>
      <c r="I181" s="3" t="n">
        <v>39027</v>
      </c>
      <c r="J181" s="4" t="n">
        <v>183.43</v>
      </c>
      <c r="K181" s="4" t="n">
        <v>185.21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14254</v>
      </c>
      <c r="F182" s="3" t="n">
        <v>2577</v>
      </c>
      <c r="G182" s="3" t="n">
        <v>15298</v>
      </c>
      <c r="H182" s="3" t="n">
        <v>2792</v>
      </c>
      <c r="I182" s="3" t="n">
        <v>12506</v>
      </c>
      <c r="J182" s="4" t="n">
        <v>10.73</v>
      </c>
      <c r="K182" s="4" t="n">
        <v>10.84</v>
      </c>
      <c r="L182" s="6">
        <f>F182*(K182-J182)</f>
        <v/>
      </c>
    </row>
    <row r="183" ht="16.5" customHeight="1">
      <c r="D183" s="2" t="inlineStr">
        <is>
          <t>臺慶科(3357)</t>
        </is>
      </c>
      <c r="E183" s="3" t="n">
        <v>524</v>
      </c>
      <c r="F183" s="3" t="n">
        <v>31</v>
      </c>
      <c r="G183" s="3" t="n">
        <v>10106</v>
      </c>
      <c r="H183" s="3" t="n">
        <v>601</v>
      </c>
      <c r="I183" s="3" t="n">
        <v>9505</v>
      </c>
      <c r="J183" s="4" t="n">
        <v>192.85</v>
      </c>
      <c r="K183" s="4" t="n">
        <v>193.97</v>
      </c>
      <c r="L183" s="6">
        <f>F183*(K183-J183)</f>
        <v/>
      </c>
    </row>
    <row r="184" ht="16.5" customHeight="1">
      <c r="D184" s="2" t="inlineStr">
        <is>
          <t>台積電(2330)</t>
        </is>
      </c>
      <c r="E184" s="3" t="n">
        <v>33</v>
      </c>
      <c r="F184" s="3" t="n">
        <v>39</v>
      </c>
      <c r="G184" s="3" t="n">
        <v>7541</v>
      </c>
      <c r="H184" s="3" t="n">
        <v>8712</v>
      </c>
      <c r="I184" s="3" t="n">
        <v>-1171</v>
      </c>
      <c r="J184" s="4" t="n">
        <v>2285.06</v>
      </c>
      <c r="K184" s="4" t="n">
        <v>2233.95</v>
      </c>
      <c r="L184" s="5">
        <f>F184*(K184-J184)</f>
        <v/>
      </c>
    </row>
    <row r="185" ht="16.5" customHeight="1">
      <c r="D185" s="2" t="inlineStr">
        <is>
          <t>臻鼎-KY(4958)</t>
        </is>
      </c>
      <c r="E185" s="3" t="n">
        <v>142</v>
      </c>
      <c r="F185" s="3" t="n">
        <v>49</v>
      </c>
      <c r="G185" s="3" t="n">
        <v>5934</v>
      </c>
      <c r="H185" s="3" t="n">
        <v>2050</v>
      </c>
      <c r="I185" s="3" t="n">
        <v>3884</v>
      </c>
      <c r="J185" s="4" t="n">
        <v>417.9</v>
      </c>
      <c r="K185" s="4" t="n">
        <v>418.47</v>
      </c>
      <c r="L185" s="6">
        <f>F185*(K185-J185)</f>
        <v/>
      </c>
    </row>
    <row r="186" ht="16.5" customHeight="1">
      <c r="D186" s="2" t="inlineStr">
        <is>
          <t>國巨*(2327)</t>
        </is>
      </c>
      <c r="E186" s="3" t="n">
        <v>124</v>
      </c>
      <c r="F186" s="3" t="n">
        <v>148</v>
      </c>
      <c r="G186" s="3" t="n">
        <v>5200</v>
      </c>
      <c r="H186" s="3" t="n">
        <v>6202</v>
      </c>
      <c r="I186" s="3" t="n">
        <v>-1002</v>
      </c>
      <c r="J186" s="4" t="n">
        <v>419.39</v>
      </c>
      <c r="K186" s="4" t="n">
        <v>419.07</v>
      </c>
      <c r="L186" s="5">
        <f>F186*(K186-J186)</f>
        <v/>
      </c>
    </row>
    <row r="187" ht="16.5" customHeight="1">
      <c r="D187" s="2" t="inlineStr">
        <is>
          <t>華星光(4979)</t>
        </is>
      </c>
      <c r="E187" s="3" t="n">
        <v>76</v>
      </c>
      <c r="F187" s="3" t="n">
        <v>61</v>
      </c>
      <c r="G187" s="3" t="n">
        <v>4984</v>
      </c>
      <c r="H187" s="3" t="n">
        <v>3998</v>
      </c>
      <c r="I187" s="3" t="n">
        <v>986</v>
      </c>
      <c r="J187" s="4" t="n">
        <v>655.74</v>
      </c>
      <c r="K187" s="4" t="n">
        <v>655.39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71</v>
      </c>
      <c r="F189" s="3" t="n">
        <v>1</v>
      </c>
      <c r="G189" s="3" t="n">
        <v>40346</v>
      </c>
      <c r="H189" s="3" t="n">
        <v>47</v>
      </c>
      <c r="I189" s="3" t="n">
        <v>40299</v>
      </c>
      <c r="J189" s="4" t="n">
        <v>5682.48</v>
      </c>
      <c r="K189" s="4" t="n">
        <v>470</v>
      </c>
      <c r="L189" s="5">
        <f>F189*(K189-J189)</f>
        <v/>
      </c>
    </row>
    <row r="190" ht="16.5" customHeight="1">
      <c r="D190" s="2" t="inlineStr">
        <is>
          <t>世芯-KY(3661)</t>
        </is>
      </c>
      <c r="E190" s="3" t="n">
        <v>16</v>
      </c>
      <c r="F190" s="3" t="n">
        <v>7</v>
      </c>
      <c r="G190" s="3" t="n">
        <v>8279</v>
      </c>
      <c r="H190" s="3" t="n">
        <v>3590</v>
      </c>
      <c r="I190" s="3" t="n">
        <v>4689</v>
      </c>
      <c r="J190" s="4" t="n">
        <v>5174.56</v>
      </c>
      <c r="K190" s="4" t="n">
        <v>5127.86</v>
      </c>
      <c r="L190" s="5">
        <f>F190*(K190-J190)</f>
        <v/>
      </c>
    </row>
    <row r="191" ht="16.5" customHeight="1">
      <c r="D191" s="2" t="inlineStr">
        <is>
          <t>台半(5425)</t>
        </is>
      </c>
      <c r="E191" s="3" t="n">
        <v>953</v>
      </c>
      <c r="F191" s="3" t="n">
        <v>174</v>
      </c>
      <c r="G191" s="3" t="n">
        <v>7748</v>
      </c>
      <c r="H191" s="3" t="n">
        <v>1421</v>
      </c>
      <c r="I191" s="3" t="n">
        <v>6327</v>
      </c>
      <c r="J191" s="4" t="n">
        <v>81.3</v>
      </c>
      <c r="K191" s="4" t="n">
        <v>81.67</v>
      </c>
      <c r="L191" s="6">
        <f>F191*(K191-J191)</f>
        <v/>
      </c>
    </row>
    <row r="192" ht="16.5" customHeight="1">
      <c r="D192" s="2" t="inlineStr">
        <is>
          <t>啟��(6285)</t>
        </is>
      </c>
      <c r="E192" s="3" t="n">
        <v>226</v>
      </c>
      <c r="F192" s="3" t="n">
        <v>139</v>
      </c>
      <c r="G192" s="3" t="n">
        <v>6328</v>
      </c>
      <c r="H192" s="3" t="n">
        <v>3765</v>
      </c>
      <c r="I192" s="3" t="n">
        <v>2563</v>
      </c>
      <c r="J192" s="4" t="n">
        <v>280</v>
      </c>
      <c r="K192" s="4" t="n">
        <v>270.89</v>
      </c>
      <c r="L192" s="5">
        <f>F192*(K192-J192)</f>
        <v/>
      </c>
    </row>
    <row r="193" ht="16.5" customHeight="1">
      <c r="D193" s="2" t="inlineStr">
        <is>
          <t>宜鼎(5289)</t>
        </is>
      </c>
      <c r="E193" s="3" t="n">
        <v>29</v>
      </c>
      <c r="F193" s="3" t="n">
        <v>41</v>
      </c>
      <c r="G193" s="3" t="n">
        <v>5292</v>
      </c>
      <c r="H193" s="3" t="n">
        <v>7358</v>
      </c>
      <c r="I193" s="3" t="n">
        <v>-2066</v>
      </c>
      <c r="J193" s="4" t="n">
        <v>1824.66</v>
      </c>
      <c r="K193" s="4" t="n">
        <v>1794.66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4919</v>
      </c>
      <c r="F194" s="3" t="n">
        <v>1632</v>
      </c>
      <c r="G194" s="3" t="n">
        <v>5274</v>
      </c>
      <c r="H194" s="3" t="n">
        <v>1757</v>
      </c>
      <c r="I194" s="3" t="n">
        <v>3517</v>
      </c>
      <c r="J194" s="4" t="n">
        <v>10.72</v>
      </c>
      <c r="K194" s="4" t="n">
        <v>10.77</v>
      </c>
      <c r="L194" s="6">
        <f>F194*(K194-J194)</f>
        <v/>
      </c>
    </row>
    <row r="195" ht="16.5" customHeight="1">
      <c r="D195" s="2" t="inlineStr">
        <is>
          <t>華新科(2492)</t>
        </is>
      </c>
      <c r="E195" s="3" t="n">
        <v>258</v>
      </c>
      <c r="F195" s="3" t="n">
        <v>107</v>
      </c>
      <c r="G195" s="3" t="n">
        <v>4802</v>
      </c>
      <c r="H195" s="3" t="n">
        <v>1883</v>
      </c>
      <c r="I195" s="3" t="n">
        <v>2919</v>
      </c>
      <c r="J195" s="4" t="n">
        <v>186.13</v>
      </c>
      <c r="K195" s="4" t="n">
        <v>175.95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151</v>
      </c>
      <c r="F196" s="3" t="n">
        <v>189</v>
      </c>
      <c r="G196" s="3" t="n">
        <v>4734</v>
      </c>
      <c r="H196" s="3" t="n">
        <v>5958</v>
      </c>
      <c r="I196" s="3" t="n">
        <v>-1224</v>
      </c>
      <c r="J196" s="4" t="n">
        <v>313.48</v>
      </c>
      <c r="K196" s="4" t="n">
        <v>315.22</v>
      </c>
      <c r="L196" s="6">
        <f>F196*(K196-J196)</f>
        <v/>
      </c>
    </row>
    <row r="197" ht="16.5" customHeight="1">
      <c r="D197" s="2" t="inlineStr">
        <is>
          <t>新唐(4919)</t>
        </is>
      </c>
      <c r="E197" s="3" t="n">
        <v>239</v>
      </c>
      <c r="F197" s="3" t="n">
        <v>70</v>
      </c>
      <c r="G197" s="3" t="n">
        <v>4511</v>
      </c>
      <c r="H197" s="3" t="n">
        <v>1313</v>
      </c>
      <c r="I197" s="3" t="n">
        <v>3198</v>
      </c>
      <c r="J197" s="4" t="n">
        <v>188.74</v>
      </c>
      <c r="K197" s="4" t="n">
        <v>187.53</v>
      </c>
      <c r="L197" s="5">
        <f>F197*(K197-J197)</f>
        <v/>
      </c>
    </row>
    <row r="198" ht="16.5" customHeight="1">
      <c r="D198" s="2" t="inlineStr">
        <is>
          <t>京元電子(2449)</t>
        </is>
      </c>
      <c r="E198" s="3" t="n">
        <v>133</v>
      </c>
      <c r="F198" s="3" t="n">
        <v>11</v>
      </c>
      <c r="G198" s="3" t="n">
        <v>3985</v>
      </c>
      <c r="H198" s="3" t="n">
        <v>340</v>
      </c>
      <c r="I198" s="3" t="n">
        <v>3645</v>
      </c>
      <c r="J198" s="4" t="n">
        <v>299.61</v>
      </c>
      <c r="K198" s="4" t="n">
        <v>309.45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群聯(8299)</t>
        </is>
      </c>
      <c r="E200" s="3" t="n">
        <v>312</v>
      </c>
      <c r="F200" s="3" t="n">
        <v>9</v>
      </c>
      <c r="G200" s="3" t="n">
        <v>85960</v>
      </c>
      <c r="H200" s="3" t="n">
        <v>2408</v>
      </c>
      <c r="I200" s="3" t="n">
        <v>83552</v>
      </c>
      <c r="J200" s="4" t="n">
        <v>2755.13</v>
      </c>
      <c r="K200" s="4" t="n">
        <v>2676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19</v>
      </c>
      <c r="F201" s="3" t="n">
        <v>86</v>
      </c>
      <c r="G201" s="3" t="n">
        <v>7489</v>
      </c>
      <c r="H201" s="3" t="n">
        <v>32964</v>
      </c>
      <c r="I201" s="3" t="n">
        <v>-25475</v>
      </c>
      <c r="J201" s="4" t="n">
        <v>3941.63</v>
      </c>
      <c r="K201" s="4" t="n">
        <v>3833.07</v>
      </c>
      <c r="L201" s="5">
        <f>F201*(K201-J201)</f>
        <v/>
      </c>
    </row>
    <row r="202" ht="16.5" customHeight="1">
      <c r="D202" s="2" t="inlineStr">
        <is>
          <t>順德(2351)</t>
        </is>
      </c>
      <c r="E202" s="3" t="n">
        <v>386</v>
      </c>
      <c r="F202" s="3" t="n">
        <v>0</v>
      </c>
      <c r="G202" s="3" t="n">
        <v>6951</v>
      </c>
      <c r="H202" s="3" t="n">
        <v>0</v>
      </c>
      <c r="I202" s="3" t="n">
        <v>6951</v>
      </c>
      <c r="J202" s="4" t="n">
        <v>180.09</v>
      </c>
      <c r="K202" s="4" t="n">
        <v>0</v>
      </c>
      <c r="L202" s="6">
        <f>F202*(K202-J202)</f>
        <v/>
      </c>
    </row>
    <row r="203" ht="16.5" customHeight="1">
      <c r="D203" s="2" t="inlineStr">
        <is>
          <t>華星光(4979)</t>
        </is>
      </c>
      <c r="E203" s="3" t="n">
        <v>51</v>
      </c>
      <c r="F203" s="3" t="n">
        <v>30</v>
      </c>
      <c r="G203" s="3" t="n">
        <v>3356</v>
      </c>
      <c r="H203" s="3" t="n">
        <v>1998</v>
      </c>
      <c r="I203" s="3" t="n">
        <v>1358</v>
      </c>
      <c r="J203" s="4" t="n">
        <v>658.0599999999999</v>
      </c>
      <c r="K203" s="4" t="n">
        <v>666.17</v>
      </c>
      <c r="L203" s="6">
        <f>F203*(K203-J203)</f>
        <v/>
      </c>
    </row>
    <row r="204" ht="16.5" customHeight="1">
      <c r="D204" s="2" t="inlineStr">
        <is>
          <t>華邦電(2344)</t>
        </is>
      </c>
      <c r="E204" s="3" t="n">
        <v>259</v>
      </c>
      <c r="F204" s="3" t="n">
        <v>387</v>
      </c>
      <c r="G204" s="3" t="n">
        <v>3078</v>
      </c>
      <c r="H204" s="3" t="n">
        <v>4622</v>
      </c>
      <c r="I204" s="3" t="n">
        <v>-1544</v>
      </c>
      <c r="J204" s="4" t="n">
        <v>118.84</v>
      </c>
      <c r="K204" s="4" t="n">
        <v>119.42</v>
      </c>
      <c r="L204" s="6">
        <f>F204*(K204-J204)</f>
        <v/>
      </c>
    </row>
    <row r="205" ht="16.5" customHeight="1">
      <c r="D205" s="2" t="inlineStr">
        <is>
          <t>穩懋(3105)</t>
        </is>
      </c>
      <c r="E205" s="3" t="n">
        <v>53</v>
      </c>
      <c r="F205" s="3" t="n">
        <v>45</v>
      </c>
      <c r="G205" s="3" t="n">
        <v>2723</v>
      </c>
      <c r="H205" s="3" t="n">
        <v>2293</v>
      </c>
      <c r="I205" s="3" t="n">
        <v>430</v>
      </c>
      <c r="J205" s="4" t="n">
        <v>513.79</v>
      </c>
      <c r="K205" s="4" t="n">
        <v>509.49</v>
      </c>
      <c r="L205" s="5">
        <f>F205*(K205-J205)</f>
        <v/>
      </c>
    </row>
    <row r="206" ht="16.5" customHeight="1">
      <c r="D206" s="2" t="inlineStr">
        <is>
          <t>旺宏(2337)</t>
        </is>
      </c>
      <c r="E206" s="3" t="n">
        <v>175</v>
      </c>
      <c r="F206" s="3" t="n">
        <v>53</v>
      </c>
      <c r="G206" s="3" t="n">
        <v>2713</v>
      </c>
      <c r="H206" s="3" t="n">
        <v>818</v>
      </c>
      <c r="I206" s="3" t="n">
        <v>1895</v>
      </c>
      <c r="J206" s="4" t="n">
        <v>155.02</v>
      </c>
      <c r="K206" s="4" t="n">
        <v>154.32</v>
      </c>
      <c r="L206" s="5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55</v>
      </c>
      <c r="G207" s="3" t="n">
        <v>2488</v>
      </c>
      <c r="H207" s="3" t="n">
        <v>1764</v>
      </c>
      <c r="I207" s="3" t="n">
        <v>724</v>
      </c>
      <c r="J207" s="4" t="n">
        <v>323.05</v>
      </c>
      <c r="K207" s="4" t="n">
        <v>320.65</v>
      </c>
      <c r="L207" s="5">
        <f>F207*(K207-J207)</f>
        <v/>
      </c>
    </row>
    <row r="208" ht="16.5" customHeight="1">
      <c r="D208" s="2" t="inlineStr">
        <is>
          <t>文曄(3036)</t>
        </is>
      </c>
      <c r="E208" s="3" t="n">
        <v>73</v>
      </c>
      <c r="F208" s="3" t="n">
        <v>233</v>
      </c>
      <c r="G208" s="3" t="n">
        <v>2014</v>
      </c>
      <c r="H208" s="3" t="n">
        <v>6272</v>
      </c>
      <c r="I208" s="3" t="n">
        <v>-4258</v>
      </c>
      <c r="J208" s="4" t="n">
        <v>275.86</v>
      </c>
      <c r="K208" s="4" t="n">
        <v>269.16</v>
      </c>
      <c r="L208" s="5">
        <f>F208*(K208-J208)</f>
        <v/>
      </c>
    </row>
    <row r="209" ht="16.5" customHeight="1">
      <c r="D209" s="2" t="inlineStr">
        <is>
          <t>艾笛森(3591)</t>
        </is>
      </c>
      <c r="E209" s="3" t="n">
        <v>756</v>
      </c>
      <c r="F209" s="3" t="n">
        <v>16</v>
      </c>
      <c r="G209" s="3" t="n">
        <v>1840</v>
      </c>
      <c r="H209" s="3" t="n">
        <v>39</v>
      </c>
      <c r="I209" s="3" t="n">
        <v>1801</v>
      </c>
      <c r="J209" s="4" t="n">
        <v>24.33</v>
      </c>
      <c r="K209" s="4" t="n">
        <v>24.5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3454</v>
      </c>
      <c r="F211" s="3" t="n">
        <v>5661</v>
      </c>
      <c r="G211" s="3" t="n">
        <v>110557</v>
      </c>
      <c r="H211" s="3" t="n">
        <v>179761</v>
      </c>
      <c r="I211" s="3" t="n">
        <v>-69204</v>
      </c>
      <c r="J211" s="4" t="n">
        <v>320.08</v>
      </c>
      <c r="K211" s="4" t="n">
        <v>317.54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973</v>
      </c>
      <c r="F212" s="3" t="n">
        <v>74</v>
      </c>
      <c r="G212" s="3" t="n">
        <v>25474</v>
      </c>
      <c r="H212" s="3" t="n">
        <v>1938</v>
      </c>
      <c r="I212" s="3" t="n">
        <v>23536</v>
      </c>
      <c r="J212" s="4" t="n">
        <v>261.81</v>
      </c>
      <c r="K212" s="4" t="n">
        <v>261.84</v>
      </c>
      <c r="L212" s="6">
        <f>F212*(K212-J212)</f>
        <v/>
      </c>
    </row>
    <row r="213" ht="16.5" customHeight="1">
      <c r="D213" s="2" t="inlineStr">
        <is>
          <t>勤誠(8210)</t>
        </is>
      </c>
      <c r="E213" s="3" t="n">
        <v>122</v>
      </c>
      <c r="F213" s="3" t="n">
        <v>2</v>
      </c>
      <c r="G213" s="3" t="n">
        <v>18892</v>
      </c>
      <c r="H213" s="3" t="n">
        <v>335</v>
      </c>
      <c r="I213" s="3" t="n">
        <v>18557</v>
      </c>
      <c r="J213" s="4" t="n">
        <v>1548.49</v>
      </c>
      <c r="K213" s="4" t="n">
        <v>1673.5</v>
      </c>
      <c r="L213" s="6">
        <f>F213*(K213-J213)</f>
        <v/>
      </c>
    </row>
    <row r="214" ht="16.5" customHeight="1">
      <c r="D214" s="2" t="inlineStr">
        <is>
          <t>景碩(3189)</t>
        </is>
      </c>
      <c r="E214" s="3" t="n">
        <v>285</v>
      </c>
      <c r="F214" s="3" t="n">
        <v>12</v>
      </c>
      <c r="G214" s="3" t="n">
        <v>14874</v>
      </c>
      <c r="H214" s="3" t="n">
        <v>624</v>
      </c>
      <c r="I214" s="3" t="n">
        <v>14250</v>
      </c>
      <c r="J214" s="4" t="n">
        <v>521.88</v>
      </c>
      <c r="K214" s="4" t="n">
        <v>519.92</v>
      </c>
      <c r="L214" s="5">
        <f>F214*(K214-J214)</f>
        <v/>
      </c>
    </row>
    <row r="215" ht="16.5" customHeight="1">
      <c r="D215" s="2" t="inlineStr">
        <is>
          <t>鴻勁(7769)</t>
        </is>
      </c>
      <c r="E215" s="3" t="n">
        <v>20</v>
      </c>
      <c r="F215" s="3" t="n">
        <v>2</v>
      </c>
      <c r="G215" s="3" t="n">
        <v>13811</v>
      </c>
      <c r="H215" s="3" t="n">
        <v>1395</v>
      </c>
      <c r="I215" s="3" t="n">
        <v>12416</v>
      </c>
      <c r="J215" s="4" t="n">
        <v>6905.3</v>
      </c>
      <c r="K215" s="4" t="n">
        <v>6976</v>
      </c>
      <c r="L215" s="6">
        <f>F215*(K215-J215)</f>
        <v/>
      </c>
    </row>
    <row r="216" ht="16.5" customHeight="1">
      <c r="D216" s="2" t="inlineStr">
        <is>
          <t>光洋科(1785)</t>
        </is>
      </c>
      <c r="E216" s="3" t="n">
        <v>619</v>
      </c>
      <c r="F216" s="3" t="n">
        <v>16</v>
      </c>
      <c r="G216" s="3" t="n">
        <v>9964</v>
      </c>
      <c r="H216" s="3" t="n">
        <v>255</v>
      </c>
      <c r="I216" s="3" t="n">
        <v>9709</v>
      </c>
      <c r="J216" s="4" t="n">
        <v>160.97</v>
      </c>
      <c r="K216" s="4" t="n">
        <v>159.31</v>
      </c>
      <c r="L216" s="5">
        <f>F216*(K216-J216)</f>
        <v/>
      </c>
    </row>
    <row r="217" ht="16.5" customHeight="1">
      <c r="D217" s="2" t="inlineStr">
        <is>
          <t>健策(3653)</t>
        </is>
      </c>
      <c r="E217" s="3" t="n">
        <v>22</v>
      </c>
      <c r="F217" s="3" t="n">
        <v>31</v>
      </c>
      <c r="G217" s="3" t="n">
        <v>8755</v>
      </c>
      <c r="H217" s="3" t="n">
        <v>12095</v>
      </c>
      <c r="I217" s="3" t="n">
        <v>-3340</v>
      </c>
      <c r="J217" s="4" t="n">
        <v>3979.45</v>
      </c>
      <c r="K217" s="4" t="n">
        <v>3901.55</v>
      </c>
      <c r="L217" s="5">
        <f>F217*(K217-J217)</f>
        <v/>
      </c>
    </row>
    <row r="218" ht="16.5" customHeight="1">
      <c r="D218" s="2" t="inlineStr">
        <is>
          <t>元大台灣高息低波(00713)</t>
        </is>
      </c>
      <c r="E218" s="3" t="n">
        <v>1570</v>
      </c>
      <c r="F218" s="3" t="n">
        <v>7</v>
      </c>
      <c r="G218" s="3" t="n">
        <v>8653</v>
      </c>
      <c r="H218" s="3" t="n">
        <v>39</v>
      </c>
      <c r="I218" s="3" t="n">
        <v>8614</v>
      </c>
      <c r="J218" s="4" t="n">
        <v>55.11</v>
      </c>
      <c r="K218" s="4" t="n">
        <v>55.71</v>
      </c>
      <c r="L218" s="6">
        <f>F218*(K218-J218)</f>
        <v/>
      </c>
    </row>
    <row r="219" ht="16.5" customHeight="1">
      <c r="D219" s="2" t="inlineStr">
        <is>
          <t>聯電(2303)</t>
        </is>
      </c>
      <c r="E219" s="3" t="n">
        <v>818</v>
      </c>
      <c r="F219" s="3" t="n">
        <v>65</v>
      </c>
      <c r="G219" s="3" t="n">
        <v>8297</v>
      </c>
      <c r="H219" s="3" t="n">
        <v>633</v>
      </c>
      <c r="I219" s="3" t="n">
        <v>7664</v>
      </c>
      <c r="J219" s="4" t="n">
        <v>101.44</v>
      </c>
      <c r="K219" s="4" t="n">
        <v>97.34999999999999</v>
      </c>
      <c r="L219" s="5">
        <f>F219*(K219-J219)</f>
        <v/>
      </c>
    </row>
    <row r="220" ht="16.5" customHeight="1">
      <c r="D220" s="2" t="inlineStr">
        <is>
          <t>緯穎(6669)</t>
        </is>
      </c>
      <c r="E220" s="3" t="n">
        <v>11</v>
      </c>
      <c r="F220" s="3" t="n">
        <v>1</v>
      </c>
      <c r="G220" s="3" t="n">
        <v>6265</v>
      </c>
      <c r="H220" s="3" t="n">
        <v>34</v>
      </c>
      <c r="I220" s="3" t="n">
        <v>6231</v>
      </c>
      <c r="J220" s="4" t="n">
        <v>5695.45</v>
      </c>
      <c r="K220" s="4" t="n">
        <v>336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上銀(2049)</t>
        </is>
      </c>
      <c r="E222" s="3" t="n">
        <v>321</v>
      </c>
      <c r="F222" s="3" t="n">
        <v>3</v>
      </c>
      <c r="G222" s="3" t="n">
        <v>11858</v>
      </c>
      <c r="H222" s="3" t="n">
        <v>120</v>
      </c>
      <c r="I222" s="3" t="n">
        <v>11738</v>
      </c>
      <c r="J222" s="4" t="n">
        <v>369.4</v>
      </c>
      <c r="K222" s="4" t="n">
        <v>400.67</v>
      </c>
      <c r="L222" s="6">
        <f>F222*(K222-J222)</f>
        <v/>
      </c>
    </row>
    <row r="223" ht="16.5" customHeight="1">
      <c r="D223" s="2" t="inlineStr">
        <is>
          <t>和椿(6215)</t>
        </is>
      </c>
      <c r="E223" s="3" t="n">
        <v>901</v>
      </c>
      <c r="F223" s="3" t="n">
        <v>1</v>
      </c>
      <c r="G223" s="3" t="n">
        <v>11319</v>
      </c>
      <c r="H223" s="3" t="n">
        <v>12</v>
      </c>
      <c r="I223" s="3" t="n">
        <v>11307</v>
      </c>
      <c r="J223" s="4" t="n">
        <v>125.63</v>
      </c>
      <c r="K223" s="4" t="n">
        <v>125</v>
      </c>
      <c r="L223" s="5">
        <f>F223*(K223-J223)</f>
        <v/>
      </c>
    </row>
    <row r="224" ht="16.5" customHeight="1">
      <c r="D224" s="2" t="inlineStr">
        <is>
          <t>國精化(4722)</t>
        </is>
      </c>
      <c r="E224" s="3" t="n">
        <v>436</v>
      </c>
      <c r="F224" s="3" t="n">
        <v>402</v>
      </c>
      <c r="G224" s="3" t="n">
        <v>11265</v>
      </c>
      <c r="H224" s="3" t="n">
        <v>10386</v>
      </c>
      <c r="I224" s="3" t="n">
        <v>879</v>
      </c>
      <c r="J224" s="4" t="n">
        <v>258.36</v>
      </c>
      <c r="K224" s="4" t="n">
        <v>258.36</v>
      </c>
      <c r="L224" s="6">
        <f>F224*(K224-J224)</f>
        <v/>
      </c>
    </row>
    <row r="225" ht="16.5" customHeight="1">
      <c r="D225" s="2" t="inlineStr">
        <is>
          <t>大銀微系統(4576)</t>
        </is>
      </c>
      <c r="E225" s="3" t="n">
        <v>247</v>
      </c>
      <c r="F225" s="3" t="n">
        <v>50</v>
      </c>
      <c r="G225" s="3" t="n">
        <v>6324</v>
      </c>
      <c r="H225" s="3" t="n">
        <v>1268</v>
      </c>
      <c r="I225" s="3" t="n">
        <v>5056</v>
      </c>
      <c r="J225" s="4" t="n">
        <v>256.03</v>
      </c>
      <c r="K225" s="4" t="n">
        <v>253.5</v>
      </c>
      <c r="L225" s="5">
        <f>F225*(K225-J225)</f>
        <v/>
      </c>
    </row>
    <row r="226" ht="16.5" customHeight="1">
      <c r="D226" s="2" t="inlineStr">
        <is>
          <t>緯穎(6669)</t>
        </is>
      </c>
      <c r="E226" s="3" t="n">
        <v>11</v>
      </c>
      <c r="F226" s="3" t="n">
        <v>6</v>
      </c>
      <c r="G226" s="3" t="n">
        <v>6152</v>
      </c>
      <c r="H226" s="3" t="n">
        <v>3499</v>
      </c>
      <c r="I226" s="3" t="n">
        <v>2653</v>
      </c>
      <c r="J226" s="4" t="n">
        <v>5592.73</v>
      </c>
      <c r="K226" s="4" t="n">
        <v>5832.33</v>
      </c>
      <c r="L226" s="6">
        <f>F226*(K226-J226)</f>
        <v/>
      </c>
    </row>
    <row r="227" ht="16.5" customHeight="1">
      <c r="D227" s="2" t="inlineStr">
        <is>
          <t>燿華(2367)</t>
        </is>
      </c>
      <c r="E227" s="3" t="n">
        <v>912</v>
      </c>
      <c r="F227" s="3" t="n">
        <v>7</v>
      </c>
      <c r="G227" s="3" t="n">
        <v>5875</v>
      </c>
      <c r="H227" s="3" t="n">
        <v>45</v>
      </c>
      <c r="I227" s="3" t="n">
        <v>5830</v>
      </c>
      <c r="J227" s="4" t="n">
        <v>64.42</v>
      </c>
      <c r="K227" s="4" t="n">
        <v>64</v>
      </c>
      <c r="L227" s="5">
        <f>F227*(K227-J227)</f>
        <v/>
      </c>
    </row>
    <row r="228" ht="16.5" customHeight="1">
      <c r="D228" s="2" t="inlineStr">
        <is>
          <t>華邦電(2344)</t>
        </is>
      </c>
      <c r="E228" s="3" t="n">
        <v>366</v>
      </c>
      <c r="F228" s="3" t="n">
        <v>73</v>
      </c>
      <c r="G228" s="3" t="n">
        <v>4387</v>
      </c>
      <c r="H228" s="3" t="n">
        <v>883</v>
      </c>
      <c r="I228" s="3" t="n">
        <v>3504</v>
      </c>
      <c r="J228" s="4" t="n">
        <v>119.86</v>
      </c>
      <c r="K228" s="4" t="n">
        <v>120.97</v>
      </c>
      <c r="L228" s="6">
        <f>F228*(K228-J228)</f>
        <v/>
      </c>
    </row>
    <row r="229" ht="16.5" customHeight="1">
      <c r="D229" s="2" t="inlineStr">
        <is>
          <t>華通(2313)</t>
        </is>
      </c>
      <c r="E229" s="3" t="n">
        <v>150</v>
      </c>
      <c r="F229" s="3" t="n">
        <v>21</v>
      </c>
      <c r="G229" s="3" t="n">
        <v>3917</v>
      </c>
      <c r="H229" s="3" t="n">
        <v>545</v>
      </c>
      <c r="I229" s="3" t="n">
        <v>3372</v>
      </c>
      <c r="J229" s="4" t="n">
        <v>261.12</v>
      </c>
      <c r="K229" s="4" t="n">
        <v>259.67</v>
      </c>
      <c r="L229" s="5">
        <f>F229*(K229-J229)</f>
        <v/>
      </c>
    </row>
    <row r="230" ht="16.5" customHeight="1">
      <c r="D230" s="2" t="inlineStr">
        <is>
          <t>國巨*(2327)</t>
        </is>
      </c>
      <c r="E230" s="3" t="n">
        <v>87</v>
      </c>
      <c r="F230" s="3" t="n">
        <v>162</v>
      </c>
      <c r="G230" s="3" t="n">
        <v>3637</v>
      </c>
      <c r="H230" s="3" t="n">
        <v>6510</v>
      </c>
      <c r="I230" s="3" t="n">
        <v>-2873</v>
      </c>
      <c r="J230" s="4" t="n">
        <v>418.01</v>
      </c>
      <c r="K230" s="4" t="n">
        <v>401.88</v>
      </c>
      <c r="L230" s="5">
        <f>F230*(K230-J230)</f>
        <v/>
      </c>
    </row>
    <row r="231" ht="16.5" customHeight="1">
      <c r="D231" s="2" t="inlineStr">
        <is>
          <t>信昌電(6173)</t>
        </is>
      </c>
      <c r="E231" s="3" t="n">
        <v>190</v>
      </c>
      <c r="F231" s="3" t="n">
        <v>0</v>
      </c>
      <c r="G231" s="3" t="n">
        <v>2793</v>
      </c>
      <c r="H231" s="3" t="n">
        <v>0</v>
      </c>
      <c r="I231" s="3" t="n">
        <v>2793</v>
      </c>
      <c r="J231" s="4" t="n">
        <v>147</v>
      </c>
      <c r="K231" s="4" t="n">
        <v>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聯電(2303)</t>
        </is>
      </c>
      <c r="E233" s="3" t="n">
        <v>3042</v>
      </c>
      <c r="F233" s="3" t="n">
        <v>62</v>
      </c>
      <c r="G233" s="3" t="n">
        <v>30663</v>
      </c>
      <c r="H233" s="3" t="n">
        <v>635</v>
      </c>
      <c r="I233" s="3" t="n">
        <v>30028</v>
      </c>
      <c r="J233" s="4" t="n">
        <v>100.8</v>
      </c>
      <c r="K233" s="4" t="n">
        <v>102.39</v>
      </c>
      <c r="L233" s="6">
        <f>F233*(K233-J233)</f>
        <v/>
      </c>
    </row>
    <row r="234" ht="16.5" customHeight="1">
      <c r="D234" s="2" t="inlineStr">
        <is>
          <t>群聯(8299)</t>
        </is>
      </c>
      <c r="E234" s="3" t="n">
        <v>12</v>
      </c>
      <c r="F234" s="3" t="n">
        <v>15</v>
      </c>
      <c r="G234" s="3" t="n">
        <v>3368</v>
      </c>
      <c r="H234" s="3" t="n">
        <v>4102</v>
      </c>
      <c r="I234" s="3" t="n">
        <v>-734</v>
      </c>
      <c r="J234" s="4" t="n">
        <v>2807</v>
      </c>
      <c r="K234" s="4" t="n">
        <v>2734.8</v>
      </c>
      <c r="L234" s="5">
        <f>F234*(K234-J234)</f>
        <v/>
      </c>
    </row>
    <row r="235" ht="16.5" customHeight="1">
      <c r="D235" s="2" t="inlineStr">
        <is>
          <t>華通(2313)</t>
        </is>
      </c>
      <c r="E235" s="3" t="n">
        <v>126</v>
      </c>
      <c r="F235" s="3" t="n">
        <v>25</v>
      </c>
      <c r="G235" s="3" t="n">
        <v>3230</v>
      </c>
      <c r="H235" s="3" t="n">
        <v>661</v>
      </c>
      <c r="I235" s="3" t="n">
        <v>2569</v>
      </c>
      <c r="J235" s="4" t="n">
        <v>256.33</v>
      </c>
      <c r="K235" s="4" t="n">
        <v>264.24</v>
      </c>
      <c r="L235" s="6">
        <f>F235*(K235-J235)</f>
        <v/>
      </c>
    </row>
    <row r="236" ht="16.5" customHeight="1">
      <c r="D236" s="2" t="inlineStr">
        <is>
          <t>金居(8358)</t>
        </is>
      </c>
      <c r="E236" s="3" t="n">
        <v>63</v>
      </c>
      <c r="F236" s="3" t="n">
        <v>13</v>
      </c>
      <c r="G236" s="3" t="n">
        <v>3084</v>
      </c>
      <c r="H236" s="3" t="n">
        <v>612</v>
      </c>
      <c r="I236" s="3" t="n">
        <v>2472</v>
      </c>
      <c r="J236" s="4" t="n">
        <v>489.54</v>
      </c>
      <c r="K236" s="4" t="n">
        <v>470.46</v>
      </c>
      <c r="L236" s="5">
        <f>F236*(K236-J236)</f>
        <v/>
      </c>
    </row>
    <row r="237" ht="16.5" customHeight="1">
      <c r="D237" s="2" t="inlineStr">
        <is>
          <t>華星光(4979)</t>
        </is>
      </c>
      <c r="E237" s="3" t="n">
        <v>43</v>
      </c>
      <c r="F237" s="3" t="n">
        <v>10</v>
      </c>
      <c r="G237" s="3" t="n">
        <v>2868</v>
      </c>
      <c r="H237" s="3" t="n">
        <v>687</v>
      </c>
      <c r="I237" s="3" t="n">
        <v>2181</v>
      </c>
      <c r="J237" s="4" t="n">
        <v>667.09</v>
      </c>
      <c r="K237" s="4" t="n">
        <v>686.6</v>
      </c>
      <c r="L237" s="6">
        <f>F237*(K237-J237)</f>
        <v/>
      </c>
    </row>
    <row r="238" ht="16.5" customHeight="1">
      <c r="D238" s="2" t="inlineStr">
        <is>
          <t>南亞科(2408)</t>
        </is>
      </c>
      <c r="E238" s="3" t="n">
        <v>82</v>
      </c>
      <c r="F238" s="3" t="n">
        <v>36</v>
      </c>
      <c r="G238" s="3" t="n">
        <v>2577</v>
      </c>
      <c r="H238" s="3" t="n">
        <v>1133</v>
      </c>
      <c r="I238" s="3" t="n">
        <v>1444</v>
      </c>
      <c r="J238" s="4" t="n">
        <v>314.22</v>
      </c>
      <c r="K238" s="4" t="n">
        <v>314.69</v>
      </c>
      <c r="L238" s="6">
        <f>F238*(K238-J238)</f>
        <v/>
      </c>
    </row>
    <row r="239" ht="16.5" customHeight="1">
      <c r="D239" s="2" t="inlineStr">
        <is>
          <t>眾達-KY(4977)</t>
        </is>
      </c>
      <c r="E239" s="3" t="n">
        <v>77</v>
      </c>
      <c r="F239" s="3" t="n">
        <v>40</v>
      </c>
      <c r="G239" s="3" t="n">
        <v>1988</v>
      </c>
      <c r="H239" s="3" t="n">
        <v>1035</v>
      </c>
      <c r="I239" s="3" t="n">
        <v>953</v>
      </c>
      <c r="J239" s="4" t="n">
        <v>258.25</v>
      </c>
      <c r="K239" s="4" t="n">
        <v>258.65</v>
      </c>
      <c r="L239" s="6">
        <f>F239*(K239-J239)</f>
        <v/>
      </c>
    </row>
    <row r="240" ht="16.5" customHeight="1">
      <c r="D240" s="2" t="inlineStr">
        <is>
          <t>創意(3443)</t>
        </is>
      </c>
      <c r="E240" s="3" t="n">
        <v>3</v>
      </c>
      <c r="F240" s="3" t="n">
        <v>2</v>
      </c>
      <c r="G240" s="3" t="n">
        <v>1890</v>
      </c>
      <c r="H240" s="3" t="n">
        <v>1131</v>
      </c>
      <c r="I240" s="3" t="n">
        <v>759</v>
      </c>
      <c r="J240" s="4" t="n">
        <v>6301.67</v>
      </c>
      <c r="K240" s="4" t="n">
        <v>5655</v>
      </c>
      <c r="L240" s="5">
        <f>F240*(K240-J240)</f>
        <v/>
      </c>
    </row>
    <row r="241" ht="16.5" customHeight="1">
      <c r="D241" s="2" t="inlineStr">
        <is>
          <t>光洋科(1785)</t>
        </is>
      </c>
      <c r="E241" s="3" t="n">
        <v>115</v>
      </c>
      <c r="F241" s="3" t="n">
        <v>1</v>
      </c>
      <c r="G241" s="3" t="n">
        <v>1827</v>
      </c>
      <c r="H241" s="3" t="n">
        <v>16</v>
      </c>
      <c r="I241" s="3" t="n">
        <v>1811</v>
      </c>
      <c r="J241" s="4" t="n">
        <v>158.86</v>
      </c>
      <c r="K241" s="4" t="n">
        <v>157</v>
      </c>
      <c r="L241" s="5">
        <f>F241*(K241-J241)</f>
        <v/>
      </c>
    </row>
    <row r="242" ht="16.5" customHeight="1">
      <c r="D242" s="2" t="inlineStr">
        <is>
          <t>精材(3374)</t>
        </is>
      </c>
      <c r="E242" s="3" t="n">
        <v>71</v>
      </c>
      <c r="F242" s="3" t="n">
        <v>102</v>
      </c>
      <c r="G242" s="3" t="n">
        <v>1814</v>
      </c>
      <c r="H242" s="3" t="n">
        <v>2609</v>
      </c>
      <c r="I242" s="3" t="n">
        <v>-795</v>
      </c>
      <c r="J242" s="4" t="n">
        <v>255.54</v>
      </c>
      <c r="K242" s="4" t="n">
        <v>255.77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2026-05-12T14:48:19Z</dcterms:created>
  <dcterms:modified xsi:type="dcterms:W3CDTF">2026-05-12T14:48:19Z</dcterms:modified>
</cp:coreProperties>
</file>