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5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;[Red]\-0.00\ "/>
  </numFmts>
  <fonts count="4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color rgb="FFFF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1" t="inlineStr">
        <is>
          <t>台新-五權西</t>
        </is>
      </c>
      <c r="C2" s="1" t="inlineStr">
        <is>
          <t>9B25</t>
        </is>
      </c>
      <c r="D2" s="2" t="inlineStr">
        <is>
          <t>南亞科(2408)</t>
        </is>
      </c>
      <c r="E2" s="3" t="n">
        <v>556</v>
      </c>
      <c r="F2" s="3" t="n">
        <v>514</v>
      </c>
      <c r="G2" s="3" t="n">
        <v>17495</v>
      </c>
      <c r="H2" s="3" t="n">
        <v>16124</v>
      </c>
      <c r="I2" s="3" t="n">
        <v>1371</v>
      </c>
      <c r="J2" s="4" t="n">
        <v>314.65</v>
      </c>
      <c r="K2" s="4" t="n">
        <v>313.7</v>
      </c>
      <c r="L2" s="5">
        <f>F2*(K2-J2)</f>
        <v/>
      </c>
    </row>
    <row r="3" ht="16.5" customHeight="1">
      <c r="D3" s="2" t="inlineStr">
        <is>
          <t>聯電(2303)</t>
        </is>
      </c>
      <c r="E3" s="3" t="n">
        <v>1106</v>
      </c>
      <c r="F3" s="3" t="n">
        <v>186</v>
      </c>
      <c r="G3" s="3" t="n">
        <v>10959</v>
      </c>
      <c r="H3" s="3" t="n">
        <v>1891</v>
      </c>
      <c r="I3" s="3" t="n">
        <v>9068</v>
      </c>
      <c r="J3" s="4" t="n">
        <v>99.09</v>
      </c>
      <c r="K3" s="4" t="n">
        <v>101.69</v>
      </c>
      <c r="L3" s="6">
        <f>F3*(K3-J3)</f>
        <v/>
      </c>
    </row>
    <row r="4" ht="16.5" customHeight="1">
      <c r="D4" s="2" t="inlineStr">
        <is>
          <t>群聯(8299)</t>
        </is>
      </c>
      <c r="E4" s="3" t="n">
        <v>39</v>
      </c>
      <c r="F4" s="3" t="n">
        <v>8</v>
      </c>
      <c r="G4" s="3" t="n">
        <v>10499</v>
      </c>
      <c r="H4" s="3" t="n">
        <v>2067</v>
      </c>
      <c r="I4" s="3" t="n">
        <v>8432</v>
      </c>
      <c r="J4" s="4" t="n">
        <v>2692.08</v>
      </c>
      <c r="K4" s="4" t="n">
        <v>2584.25</v>
      </c>
      <c r="L4" s="5">
        <f>F4*(K4-J4)</f>
        <v/>
      </c>
    </row>
    <row r="5" ht="16.5" customHeight="1">
      <c r="D5" s="2" t="inlineStr">
        <is>
          <t>國巨*(2327)</t>
        </is>
      </c>
      <c r="E5" s="3" t="n">
        <v>152</v>
      </c>
      <c r="F5" s="3" t="n">
        <v>58</v>
      </c>
      <c r="G5" s="3" t="n">
        <v>6166</v>
      </c>
      <c r="H5" s="3" t="n">
        <v>2396</v>
      </c>
      <c r="I5" s="3" t="n">
        <v>3770</v>
      </c>
      <c r="J5" s="4" t="n">
        <v>405.68</v>
      </c>
      <c r="K5" s="4" t="n">
        <v>413.19</v>
      </c>
      <c r="L5" s="6">
        <f>F5*(K5-J5)</f>
        <v/>
      </c>
    </row>
    <row r="6" ht="16.5" customHeight="1">
      <c r="D6" s="2" t="inlineStr">
        <is>
          <t>群創(3481)</t>
        </is>
      </c>
      <c r="E6" s="3" t="n">
        <v>1689</v>
      </c>
      <c r="F6" s="3" t="n">
        <v>1367</v>
      </c>
      <c r="G6" s="3" t="n">
        <v>5949</v>
      </c>
      <c r="H6" s="3" t="n">
        <v>4754</v>
      </c>
      <c r="I6" s="3" t="n">
        <v>1195</v>
      </c>
      <c r="J6" s="4" t="n">
        <v>35.22</v>
      </c>
      <c r="K6" s="4" t="n">
        <v>34.78</v>
      </c>
      <c r="L6" s="5">
        <f>F6*(K6-J6)</f>
        <v/>
      </c>
    </row>
    <row r="7" ht="16.5" customHeight="1">
      <c r="D7" s="2" t="inlineStr">
        <is>
          <t>聯發科(2454)</t>
        </is>
      </c>
      <c r="E7" s="3" t="n">
        <v>14</v>
      </c>
      <c r="F7" s="3" t="n">
        <v>16</v>
      </c>
      <c r="G7" s="3" t="n">
        <v>5344</v>
      </c>
      <c r="H7" s="3" t="n">
        <v>6003</v>
      </c>
      <c r="I7" s="3" t="n">
        <v>-659</v>
      </c>
      <c r="J7" s="4" t="n">
        <v>3817.43</v>
      </c>
      <c r="K7" s="4" t="n">
        <v>3751.69</v>
      </c>
      <c r="L7" s="5">
        <f>F7*(K7-J7)</f>
        <v/>
      </c>
    </row>
    <row r="8" ht="16.5" customHeight="1">
      <c r="D8" s="2" t="inlineStr">
        <is>
          <t>主動統一升級50(00403A)</t>
        </is>
      </c>
      <c r="E8" s="3" t="n">
        <v>3332</v>
      </c>
      <c r="F8" s="3" t="n">
        <v>366</v>
      </c>
      <c r="G8" s="3" t="n">
        <v>3579</v>
      </c>
      <c r="H8" s="3" t="n">
        <v>393</v>
      </c>
      <c r="I8" s="3" t="n">
        <v>3186</v>
      </c>
      <c r="J8" s="4" t="n">
        <v>10.74</v>
      </c>
      <c r="K8" s="4" t="n">
        <v>10.73</v>
      </c>
      <c r="L8" s="5">
        <f>F8*(K8-J8)</f>
        <v/>
      </c>
    </row>
    <row r="9" ht="16.5" customHeight="1">
      <c r="D9" s="2" t="inlineStr">
        <is>
          <t>穩懋(3105)</t>
        </is>
      </c>
      <c r="E9" s="3" t="n">
        <v>69</v>
      </c>
      <c r="F9" s="3" t="n">
        <v>60</v>
      </c>
      <c r="G9" s="3" t="n">
        <v>3533</v>
      </c>
      <c r="H9" s="3" t="n">
        <v>3095</v>
      </c>
      <c r="I9" s="3" t="n">
        <v>438</v>
      </c>
      <c r="J9" s="4" t="n">
        <v>512.03</v>
      </c>
      <c r="K9" s="4" t="n">
        <v>515.8</v>
      </c>
      <c r="L9" s="6">
        <f>F9*(K9-J9)</f>
        <v/>
      </c>
    </row>
    <row r="10" ht="16.5" customHeight="1">
      <c r="D10" s="2" t="inlineStr">
        <is>
          <t>啟��(6285)</t>
        </is>
      </c>
      <c r="E10" s="3" t="n">
        <v>123</v>
      </c>
      <c r="F10" s="3" t="n">
        <v>31</v>
      </c>
      <c r="G10" s="3" t="n">
        <v>3412</v>
      </c>
      <c r="H10" s="3" t="n">
        <v>852</v>
      </c>
      <c r="I10" s="3" t="n">
        <v>2560</v>
      </c>
      <c r="J10" s="4" t="n">
        <v>277.38</v>
      </c>
      <c r="K10" s="4" t="n">
        <v>274.71</v>
      </c>
      <c r="L10" s="5">
        <f>F10*(K10-J10)</f>
        <v/>
      </c>
    </row>
    <row r="11" ht="16.5" customHeight="1">
      <c r="D11" s="2" t="inlineStr">
        <is>
          <t>眾達-KY(4977)</t>
        </is>
      </c>
      <c r="E11" s="3" t="n">
        <v>106</v>
      </c>
      <c r="F11" s="3" t="n">
        <v>2</v>
      </c>
      <c r="G11" s="3" t="n">
        <v>2848</v>
      </c>
      <c r="H11" s="3" t="n">
        <v>48</v>
      </c>
      <c r="I11" s="3" t="n">
        <v>2800</v>
      </c>
      <c r="J11" s="4" t="n">
        <v>268.73</v>
      </c>
      <c r="K11" s="4" t="n">
        <v>241</v>
      </c>
      <c r="L11" s="5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1" t="inlineStr">
        <is>
          <t>富邦-南屯</t>
        </is>
      </c>
      <c r="C13" s="1" t="inlineStr">
        <is>
          <t>9666</t>
        </is>
      </c>
      <c r="D13" s="2" t="inlineStr">
        <is>
          <t>群創(3481)</t>
        </is>
      </c>
      <c r="E13" s="3" t="n">
        <v>5501</v>
      </c>
      <c r="F13" s="3" t="n">
        <v>824</v>
      </c>
      <c r="G13" s="3" t="n">
        <v>19476</v>
      </c>
      <c r="H13" s="3" t="n">
        <v>2870</v>
      </c>
      <c r="I13" s="3" t="n">
        <v>16606</v>
      </c>
      <c r="J13" s="4" t="n">
        <v>35.4</v>
      </c>
      <c r="K13" s="4" t="n">
        <v>34.83</v>
      </c>
      <c r="L13" s="5">
        <f>F13*(K13-J13)</f>
        <v/>
      </c>
    </row>
    <row r="14" ht="16.5" customHeight="1">
      <c r="D14" s="2" t="inlineStr">
        <is>
          <t>友達(2409)</t>
        </is>
      </c>
      <c r="E14" s="3" t="n">
        <v>5830</v>
      </c>
      <c r="F14" s="3" t="n">
        <v>1448</v>
      </c>
      <c r="G14" s="3" t="n">
        <v>11969</v>
      </c>
      <c r="H14" s="3" t="n">
        <v>2890</v>
      </c>
      <c r="I14" s="3" t="n">
        <v>9079</v>
      </c>
      <c r="J14" s="4" t="n">
        <v>20.53</v>
      </c>
      <c r="K14" s="4" t="n">
        <v>19.96</v>
      </c>
      <c r="L14" s="5">
        <f>F14*(K14-J14)</f>
        <v/>
      </c>
    </row>
    <row r="15" ht="16.5" customHeight="1">
      <c r="D15" s="2" t="inlineStr">
        <is>
          <t>聯鈞(3450)</t>
        </is>
      </c>
      <c r="E15" s="3" t="n">
        <v>219</v>
      </c>
      <c r="F15" s="3" t="n">
        <v>195</v>
      </c>
      <c r="G15" s="3" t="n">
        <v>10316</v>
      </c>
      <c r="H15" s="3" t="n">
        <v>9194</v>
      </c>
      <c r="I15" s="3" t="n">
        <v>1122</v>
      </c>
      <c r="J15" s="4" t="n">
        <v>471.06</v>
      </c>
      <c r="K15" s="4" t="n">
        <v>471.48</v>
      </c>
      <c r="L15" s="6">
        <f>F15*(K15-J15)</f>
        <v/>
      </c>
    </row>
    <row r="16" ht="16.5" customHeight="1">
      <c r="D16" s="2" t="inlineStr">
        <is>
          <t>光寶科(2301)</t>
        </is>
      </c>
      <c r="E16" s="3" t="n">
        <v>410</v>
      </c>
      <c r="F16" s="3" t="n">
        <v>612</v>
      </c>
      <c r="G16" s="3" t="n">
        <v>9999</v>
      </c>
      <c r="H16" s="3" t="n">
        <v>14569</v>
      </c>
      <c r="I16" s="3" t="n">
        <v>-4570</v>
      </c>
      <c r="J16" s="4" t="n">
        <v>243.89</v>
      </c>
      <c r="K16" s="4" t="n">
        <v>238.06</v>
      </c>
      <c r="L16" s="5">
        <f>F16*(K16-J16)</f>
        <v/>
      </c>
    </row>
    <row r="17" ht="16.5" customHeight="1">
      <c r="D17" s="2" t="inlineStr">
        <is>
          <t>聯電(2303)</t>
        </is>
      </c>
      <c r="E17" s="3" t="n">
        <v>942</v>
      </c>
      <c r="F17" s="3" t="n">
        <v>307</v>
      </c>
      <c r="G17" s="3" t="n">
        <v>9688</v>
      </c>
      <c r="H17" s="3" t="n">
        <v>3109</v>
      </c>
      <c r="I17" s="3" t="n">
        <v>6579</v>
      </c>
      <c r="J17" s="4" t="n">
        <v>102.84</v>
      </c>
      <c r="K17" s="4" t="n">
        <v>101.28</v>
      </c>
      <c r="L17" s="5">
        <f>F17*(K17-J17)</f>
        <v/>
      </c>
    </row>
    <row r="18" ht="16.5" customHeight="1">
      <c r="D18" s="2" t="inlineStr">
        <is>
          <t>主動統一升級50(00403A)</t>
        </is>
      </c>
      <c r="E18" s="3" t="n">
        <v>7571</v>
      </c>
      <c r="F18" s="3" t="n">
        <v>1653</v>
      </c>
      <c r="G18" s="3" t="n">
        <v>8127</v>
      </c>
      <c r="H18" s="3" t="n">
        <v>1781</v>
      </c>
      <c r="I18" s="3" t="n">
        <v>6346</v>
      </c>
      <c r="J18" s="4" t="n">
        <v>10.73</v>
      </c>
      <c r="K18" s="4" t="n">
        <v>10.78</v>
      </c>
      <c r="L18" s="6">
        <f>F18*(K18-J18)</f>
        <v/>
      </c>
    </row>
    <row r="19" ht="16.5" customHeight="1">
      <c r="D19" s="2" t="inlineStr">
        <is>
          <t>新盛力(4931)</t>
        </is>
      </c>
      <c r="E19" s="3" t="n">
        <v>329</v>
      </c>
      <c r="F19" s="3" t="n">
        <v>309</v>
      </c>
      <c r="G19" s="3" t="n">
        <v>6654</v>
      </c>
      <c r="H19" s="3" t="n">
        <v>6263</v>
      </c>
      <c r="I19" s="3" t="n">
        <v>391</v>
      </c>
      <c r="J19" s="4" t="n">
        <v>202.25</v>
      </c>
      <c r="K19" s="4" t="n">
        <v>202.68</v>
      </c>
      <c r="L19" s="6">
        <f>F19*(K19-J19)</f>
        <v/>
      </c>
    </row>
    <row r="20" ht="16.5" customHeight="1">
      <c r="D20" s="2" t="inlineStr">
        <is>
          <t>元太(8069)</t>
        </is>
      </c>
      <c r="E20" s="3" t="n">
        <v>305</v>
      </c>
      <c r="F20" s="3" t="n">
        <v>265</v>
      </c>
      <c r="G20" s="3" t="n">
        <v>5964</v>
      </c>
      <c r="H20" s="3" t="n">
        <v>5180</v>
      </c>
      <c r="I20" s="3" t="n">
        <v>784</v>
      </c>
      <c r="J20" s="4" t="n">
        <v>195.55</v>
      </c>
      <c r="K20" s="4" t="n">
        <v>195.47</v>
      </c>
      <c r="L20" s="5">
        <f>F20*(K20-J20)</f>
        <v/>
      </c>
    </row>
    <row r="21" ht="16.5" customHeight="1">
      <c r="D21" s="2" t="inlineStr">
        <is>
          <t>愛普*(6531)</t>
        </is>
      </c>
      <c r="E21" s="3" t="n">
        <v>52</v>
      </c>
      <c r="F21" s="3" t="n">
        <v>30</v>
      </c>
      <c r="G21" s="3" t="n">
        <v>5484</v>
      </c>
      <c r="H21" s="3" t="n">
        <v>3120</v>
      </c>
      <c r="I21" s="3" t="n">
        <v>2364</v>
      </c>
      <c r="J21" s="4" t="n">
        <v>1054.63</v>
      </c>
      <c r="K21" s="4" t="n">
        <v>1040.17</v>
      </c>
      <c r="L21" s="5">
        <f>F21*(K21-J21)</f>
        <v/>
      </c>
    </row>
    <row r="22" ht="16.5" customHeight="1">
      <c r="D22" s="2" t="inlineStr">
        <is>
          <t>金像電(2368)</t>
        </is>
      </c>
      <c r="E22" s="3" t="n">
        <v>32</v>
      </c>
      <c r="F22" s="3" t="n">
        <v>1</v>
      </c>
      <c r="G22" s="3" t="n">
        <v>4474</v>
      </c>
      <c r="H22" s="3" t="n">
        <v>146</v>
      </c>
      <c r="I22" s="3" t="n">
        <v>4328</v>
      </c>
      <c r="J22" s="4" t="n">
        <v>1398.19</v>
      </c>
      <c r="K22" s="4" t="n">
        <v>1459</v>
      </c>
      <c r="L22" s="6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1" t="inlineStr">
        <is>
          <t>國票-彰化</t>
        </is>
      </c>
      <c r="C24" s="1" t="inlineStr">
        <is>
          <t>779W</t>
        </is>
      </c>
      <c r="D24" s="2" t="inlineStr">
        <is>
          <t>主動統一升級50(00403A)</t>
        </is>
      </c>
      <c r="E24" s="3" t="n">
        <v>2443</v>
      </c>
      <c r="F24" s="3" t="n">
        <v>1581</v>
      </c>
      <c r="G24" s="3" t="n">
        <v>2614</v>
      </c>
      <c r="H24" s="3" t="n">
        <v>1696</v>
      </c>
      <c r="I24" s="3" t="n">
        <v>918</v>
      </c>
      <c r="J24" s="4" t="n">
        <v>10.7</v>
      </c>
      <c r="K24" s="4" t="n">
        <v>10.73</v>
      </c>
      <c r="L24" s="6">
        <f>F24*(K24-J24)</f>
        <v/>
      </c>
    </row>
    <row r="25" ht="16.5" customHeight="1">
      <c r="D25" s="2" t="inlineStr">
        <is>
          <t>尖點(8021)</t>
        </is>
      </c>
      <c r="E25" s="3" t="n">
        <v>30</v>
      </c>
      <c r="F25" s="3" t="n">
        <v>22</v>
      </c>
      <c r="G25" s="3" t="n">
        <v>1408</v>
      </c>
      <c r="H25" s="3" t="n">
        <v>1029</v>
      </c>
      <c r="I25" s="3" t="n">
        <v>379</v>
      </c>
      <c r="J25" s="4" t="n">
        <v>469.5</v>
      </c>
      <c r="K25" s="4" t="n">
        <v>467.59</v>
      </c>
      <c r="L25" s="5">
        <f>F25*(K25-J25)</f>
        <v/>
      </c>
    </row>
    <row r="26" ht="16.5" customHeight="1">
      <c r="D26" s="2" t="inlineStr">
        <is>
          <t>健策(3653)</t>
        </is>
      </c>
      <c r="E26" s="3" t="n">
        <v>3</v>
      </c>
      <c r="F26" s="3" t="n">
        <v>0</v>
      </c>
      <c r="G26" s="3" t="n">
        <v>1194</v>
      </c>
      <c r="H26" s="3" t="n">
        <v>0</v>
      </c>
      <c r="I26" s="3" t="n">
        <v>1194</v>
      </c>
      <c r="J26" s="4" t="n">
        <v>3979.67</v>
      </c>
      <c r="K26" s="4" t="n">
        <v>0</v>
      </c>
      <c r="L26" s="6">
        <f>F26*(K26-J26)</f>
        <v/>
      </c>
    </row>
    <row r="27" ht="16.5" customHeight="1">
      <c r="D27" s="2" t="inlineStr">
        <is>
          <t>國巨*(2327)</t>
        </is>
      </c>
      <c r="E27" s="3" t="n">
        <v>28</v>
      </c>
      <c r="F27" s="3" t="n">
        <v>21</v>
      </c>
      <c r="G27" s="3" t="n">
        <v>1160</v>
      </c>
      <c r="H27" s="3" t="n">
        <v>896</v>
      </c>
      <c r="I27" s="3" t="n">
        <v>264</v>
      </c>
      <c r="J27" s="4" t="n">
        <v>414.36</v>
      </c>
      <c r="K27" s="4" t="n">
        <v>426.43</v>
      </c>
      <c r="L27" s="6">
        <f>F27*(K27-J27)</f>
        <v/>
      </c>
    </row>
    <row r="28" ht="16.5" customHeight="1">
      <c r="D28" s="2" t="inlineStr">
        <is>
          <t>群聯(8299)</t>
        </is>
      </c>
      <c r="E28" s="3" t="n">
        <v>4</v>
      </c>
      <c r="F28" s="3" t="n">
        <v>1</v>
      </c>
      <c r="G28" s="3" t="n">
        <v>1120</v>
      </c>
      <c r="H28" s="3" t="n">
        <v>292</v>
      </c>
      <c r="I28" s="3" t="n">
        <v>828</v>
      </c>
      <c r="J28" s="4" t="n">
        <v>2799.75</v>
      </c>
      <c r="K28" s="4" t="n">
        <v>2922</v>
      </c>
      <c r="L28" s="6">
        <f>F28*(K28-J28)</f>
        <v/>
      </c>
    </row>
    <row r="29" ht="16.5" customHeight="1">
      <c r="D29" s="2" t="inlineStr">
        <is>
          <t>旺矽(6223)</t>
        </is>
      </c>
      <c r="E29" s="3" t="n">
        <v>2</v>
      </c>
      <c r="F29" s="3" t="n">
        <v>4</v>
      </c>
      <c r="G29" s="3" t="n">
        <v>1096</v>
      </c>
      <c r="H29" s="3" t="n">
        <v>2192</v>
      </c>
      <c r="I29" s="3" t="n">
        <v>-1096</v>
      </c>
      <c r="J29" s="4" t="n">
        <v>5480</v>
      </c>
      <c r="K29" s="4" t="n">
        <v>5480</v>
      </c>
      <c r="L29" s="6">
        <f>F29*(K29-J29)</f>
        <v/>
      </c>
    </row>
    <row r="30" ht="16.5" customHeight="1">
      <c r="D30" s="2" t="inlineStr">
        <is>
          <t>南亞科(2408)</t>
        </is>
      </c>
      <c r="E30" s="3" t="n">
        <v>34</v>
      </c>
      <c r="F30" s="3" t="n">
        <v>50</v>
      </c>
      <c r="G30" s="3" t="n">
        <v>1046</v>
      </c>
      <c r="H30" s="3" t="n">
        <v>1578</v>
      </c>
      <c r="I30" s="3" t="n">
        <v>-532</v>
      </c>
      <c r="J30" s="4" t="n">
        <v>307.59</v>
      </c>
      <c r="K30" s="4" t="n">
        <v>315.7</v>
      </c>
      <c r="L30" s="6">
        <f>F30*(K30-J30)</f>
        <v/>
      </c>
    </row>
    <row r="31" ht="16.5" customHeight="1">
      <c r="D31" s="2" t="inlineStr">
        <is>
          <t>群創(3481)</t>
        </is>
      </c>
      <c r="E31" s="3" t="n">
        <v>287</v>
      </c>
      <c r="F31" s="3" t="n">
        <v>119</v>
      </c>
      <c r="G31" s="3" t="n">
        <v>1003</v>
      </c>
      <c r="H31" s="3" t="n">
        <v>417</v>
      </c>
      <c r="I31" s="3" t="n">
        <v>586</v>
      </c>
      <c r="J31" s="4" t="n">
        <v>34.95</v>
      </c>
      <c r="K31" s="4" t="n">
        <v>35.03</v>
      </c>
      <c r="L31" s="6">
        <f>F31*(K31-J31)</f>
        <v/>
      </c>
    </row>
    <row r="32" ht="16.5" customHeight="1">
      <c r="D32" s="2" t="inlineStr">
        <is>
          <t>精材(3374)</t>
        </is>
      </c>
      <c r="E32" s="3" t="n">
        <v>37</v>
      </c>
      <c r="F32" s="3" t="n">
        <v>14</v>
      </c>
      <c r="G32" s="3" t="n">
        <v>950</v>
      </c>
      <c r="H32" s="3" t="n">
        <v>358</v>
      </c>
      <c r="I32" s="3" t="n">
        <v>592</v>
      </c>
      <c r="J32" s="4" t="n">
        <v>256.68</v>
      </c>
      <c r="K32" s="4" t="n">
        <v>255.79</v>
      </c>
      <c r="L32" s="5">
        <f>F32*(K32-J32)</f>
        <v/>
      </c>
    </row>
    <row r="33" ht="16.5" customHeight="1">
      <c r="D33" s="2" t="inlineStr">
        <is>
          <t>印能科技(7734)</t>
        </is>
      </c>
      <c r="E33" s="3" t="n">
        <v>2</v>
      </c>
      <c r="F33" s="3" t="n">
        <v>0</v>
      </c>
      <c r="G33" s="3" t="n">
        <v>800</v>
      </c>
      <c r="H33" s="3" t="n">
        <v>0</v>
      </c>
      <c r="I33" s="3" t="n">
        <v>800</v>
      </c>
      <c r="J33" s="4" t="n">
        <v>4000</v>
      </c>
      <c r="K33" s="4" t="n">
        <v>0</v>
      </c>
      <c r="L33" s="6">
        <f>F33*(K33-J33)</f>
        <v/>
      </c>
    </row>
    <row r="34" ht="16.5" customHeight="1">
      <c r="A34" s="1" t="inlineStr">
        <is>
          <t>高手</t>
        </is>
      </c>
      <c r="B34" s="1" t="inlineStr">
        <is>
          <t>常下分點</t>
        </is>
      </c>
      <c r="C34" s="1" t="inlineStr">
        <is>
          <t>分點代號</t>
        </is>
      </c>
      <c r="D34" s="1" t="inlineStr">
        <is>
          <t>標的</t>
        </is>
      </c>
      <c r="E34" s="1" t="inlineStr">
        <is>
          <t>買進(張)</t>
        </is>
      </c>
      <c r="F34" s="1" t="inlineStr">
        <is>
          <t>賣出(張)</t>
        </is>
      </c>
      <c r="G34" s="1" t="inlineStr">
        <is>
          <t>買進(萬元)</t>
        </is>
      </c>
      <c r="H34" s="1" t="inlineStr">
        <is>
          <t>賣出(萬元)</t>
        </is>
      </c>
      <c r="I34" s="1" t="inlineStr">
        <is>
          <t>淨買差(萬元)</t>
        </is>
      </c>
      <c r="J34" s="1" t="inlineStr">
        <is>
          <t>買均</t>
        </is>
      </c>
      <c r="K34" s="1" t="inlineStr">
        <is>
          <t>賣均</t>
        </is>
      </c>
      <c r="L34" s="1" t="inlineStr">
        <is>
          <t>損益(萬)</t>
        </is>
      </c>
    </row>
    <row r="35" ht="16.5" customHeight="1">
      <c r="A35" s="1" t="inlineStr">
        <is>
          <t>林滄海</t>
        </is>
      </c>
      <c r="B35" s="1" t="inlineStr">
        <is>
          <t>富邦-建國</t>
        </is>
      </c>
      <c r="C35" s="1" t="inlineStr">
        <is>
          <t>9658</t>
        </is>
      </c>
      <c r="D35" s="2" t="inlineStr">
        <is>
          <t>台積電(2330)</t>
        </is>
      </c>
      <c r="E35" s="3" t="n">
        <v>101</v>
      </c>
      <c r="F35" s="3" t="n">
        <v>50</v>
      </c>
      <c r="G35" s="3" t="n">
        <v>22740</v>
      </c>
      <c r="H35" s="3" t="n">
        <v>11175</v>
      </c>
      <c r="I35" s="3" t="n">
        <v>11565</v>
      </c>
      <c r="J35" s="4" t="n">
        <v>2251.47</v>
      </c>
      <c r="K35" s="4" t="n">
        <v>2234.96</v>
      </c>
      <c r="L35" s="5">
        <f>F35*(K35-J35)</f>
        <v/>
      </c>
    </row>
    <row r="36" ht="16.5" customHeight="1">
      <c r="D36" s="2" t="inlineStr">
        <is>
          <t>愛普*(6531)</t>
        </is>
      </c>
      <c r="E36" s="3" t="n">
        <v>192</v>
      </c>
      <c r="F36" s="3" t="n">
        <v>113</v>
      </c>
      <c r="G36" s="3" t="n">
        <v>18698</v>
      </c>
      <c r="H36" s="3" t="n">
        <v>11499</v>
      </c>
      <c r="I36" s="3" t="n">
        <v>7199</v>
      </c>
      <c r="J36" s="4" t="n">
        <v>973.85</v>
      </c>
      <c r="K36" s="4" t="n">
        <v>1017.59</v>
      </c>
      <c r="L36" s="6">
        <f>F36*(K36-J36)</f>
        <v/>
      </c>
    </row>
    <row r="37" ht="16.5" customHeight="1">
      <c r="D37" s="2" t="inlineStr">
        <is>
          <t>主動統一升級50(00403A)</t>
        </is>
      </c>
      <c r="E37" s="3" t="n">
        <v>13557</v>
      </c>
      <c r="F37" s="3" t="n">
        <v>1890</v>
      </c>
      <c r="G37" s="3" t="n">
        <v>14552</v>
      </c>
      <c r="H37" s="3" t="n">
        <v>2032</v>
      </c>
      <c r="I37" s="3" t="n">
        <v>12520</v>
      </c>
      <c r="J37" s="4" t="n">
        <v>10.73</v>
      </c>
      <c r="K37" s="4" t="n">
        <v>10.75</v>
      </c>
      <c r="L37" s="6">
        <f>F37*(K37-J37)</f>
        <v/>
      </c>
    </row>
    <row r="38" ht="16.5" customHeight="1">
      <c r="D38" s="2" t="inlineStr">
        <is>
          <t>聯發科(2454)</t>
        </is>
      </c>
      <c r="E38" s="3" t="n">
        <v>30</v>
      </c>
      <c r="F38" s="3" t="n">
        <v>10</v>
      </c>
      <c r="G38" s="3" t="n">
        <v>11100</v>
      </c>
      <c r="H38" s="3" t="n">
        <v>3657</v>
      </c>
      <c r="I38" s="3" t="n">
        <v>7443</v>
      </c>
      <c r="J38" s="4" t="n">
        <v>3700.17</v>
      </c>
      <c r="K38" s="4" t="n">
        <v>3656.9</v>
      </c>
      <c r="L38" s="5">
        <f>F38*(K38-J38)</f>
        <v/>
      </c>
    </row>
    <row r="39" ht="16.5" customHeight="1">
      <c r="D39" s="2" t="inlineStr">
        <is>
          <t>台達電(2308)</t>
        </is>
      </c>
      <c r="E39" s="3" t="n">
        <v>40</v>
      </c>
      <c r="F39" s="3" t="n">
        <v>7</v>
      </c>
      <c r="G39" s="3" t="n">
        <v>8825</v>
      </c>
      <c r="H39" s="3" t="n">
        <v>1459</v>
      </c>
      <c r="I39" s="3" t="n">
        <v>7366</v>
      </c>
      <c r="J39" s="4" t="n">
        <v>2206.32</v>
      </c>
      <c r="K39" s="4" t="n">
        <v>2084.86</v>
      </c>
      <c r="L39" s="5">
        <f>F39*(K39-J39)</f>
        <v/>
      </c>
    </row>
    <row r="40" ht="16.5" customHeight="1">
      <c r="D40" s="2" t="inlineStr">
        <is>
          <t>群聯(8299)</t>
        </is>
      </c>
      <c r="E40" s="3" t="n">
        <v>32</v>
      </c>
      <c r="F40" s="3" t="n">
        <v>17</v>
      </c>
      <c r="G40" s="3" t="n">
        <v>8805</v>
      </c>
      <c r="H40" s="3" t="n">
        <v>4500</v>
      </c>
      <c r="I40" s="3" t="n">
        <v>4305</v>
      </c>
      <c r="J40" s="4" t="n">
        <v>2751.47</v>
      </c>
      <c r="K40" s="4" t="n">
        <v>2647.24</v>
      </c>
      <c r="L40" s="5">
        <f>F40*(K40-J40)</f>
        <v/>
      </c>
    </row>
    <row r="41" ht="16.5" customHeight="1">
      <c r="D41" s="2" t="inlineStr">
        <is>
          <t>創見(2451)</t>
        </is>
      </c>
      <c r="E41" s="3" t="n">
        <v>193</v>
      </c>
      <c r="F41" s="3" t="n">
        <v>20</v>
      </c>
      <c r="G41" s="3" t="n">
        <v>6823</v>
      </c>
      <c r="H41" s="3" t="n">
        <v>689</v>
      </c>
      <c r="I41" s="3" t="n">
        <v>6134</v>
      </c>
      <c r="J41" s="4" t="n">
        <v>353.53</v>
      </c>
      <c r="K41" s="4" t="n">
        <v>344.65</v>
      </c>
      <c r="L41" s="5">
        <f>F41*(K41-J41)</f>
        <v/>
      </c>
    </row>
    <row r="42" ht="16.5" customHeight="1">
      <c r="D42" s="2" t="inlineStr">
        <is>
          <t>旺宏(2337)</t>
        </is>
      </c>
      <c r="E42" s="3" t="n">
        <v>336</v>
      </c>
      <c r="F42" s="3" t="n">
        <v>134</v>
      </c>
      <c r="G42" s="3" t="n">
        <v>5183</v>
      </c>
      <c r="H42" s="3" t="n">
        <v>2073</v>
      </c>
      <c r="I42" s="3" t="n">
        <v>3110</v>
      </c>
      <c r="J42" s="4" t="n">
        <v>154.25</v>
      </c>
      <c r="K42" s="4" t="n">
        <v>154.7</v>
      </c>
      <c r="L42" s="6">
        <f>F42*(K42-J42)</f>
        <v/>
      </c>
    </row>
    <row r="43" ht="16.5" customHeight="1">
      <c r="D43" s="2" t="inlineStr">
        <is>
          <t>力成(6239)</t>
        </is>
      </c>
      <c r="E43" s="3" t="n">
        <v>208</v>
      </c>
      <c r="F43" s="3" t="n">
        <v>18</v>
      </c>
      <c r="G43" s="3" t="n">
        <v>4779</v>
      </c>
      <c r="H43" s="3" t="n">
        <v>409</v>
      </c>
      <c r="I43" s="3" t="n">
        <v>4370</v>
      </c>
      <c r="J43" s="4" t="n">
        <v>229.75</v>
      </c>
      <c r="K43" s="4" t="n">
        <v>227.39</v>
      </c>
      <c r="L43" s="5">
        <f>F43*(K43-J43)</f>
        <v/>
      </c>
    </row>
    <row r="44" ht="16.5" customHeight="1">
      <c r="D44" s="2" t="inlineStr">
        <is>
          <t>華邦電(2344)</t>
        </is>
      </c>
      <c r="E44" s="3" t="n">
        <v>394</v>
      </c>
      <c r="F44" s="3" t="n">
        <v>760</v>
      </c>
      <c r="G44" s="3" t="n">
        <v>4678</v>
      </c>
      <c r="H44" s="3" t="n">
        <v>9112</v>
      </c>
      <c r="I44" s="3" t="n">
        <v>-4434</v>
      </c>
      <c r="J44" s="4" t="n">
        <v>118.73</v>
      </c>
      <c r="K44" s="4" t="n">
        <v>119.89</v>
      </c>
      <c r="L44" s="6">
        <f>F44*(K44-J44)</f>
        <v/>
      </c>
    </row>
    <row r="45" ht="16.5" customHeight="1">
      <c r="B45" s="1" t="inlineStr">
        <is>
          <t>常下分點</t>
        </is>
      </c>
      <c r="C45" s="1" t="inlineStr">
        <is>
          <t>分點代號</t>
        </is>
      </c>
      <c r="D45" s="1" t="inlineStr">
        <is>
          <t>標的</t>
        </is>
      </c>
      <c r="E45" s="1" t="inlineStr">
        <is>
          <t>買進(張)</t>
        </is>
      </c>
      <c r="F45" s="1" t="inlineStr">
        <is>
          <t>賣出(張)</t>
        </is>
      </c>
      <c r="G45" s="1" t="inlineStr">
        <is>
          <t>買進(萬元)</t>
        </is>
      </c>
      <c r="H45" s="1" t="inlineStr">
        <is>
          <t>賣出(萬元)</t>
        </is>
      </c>
      <c r="I45" s="1" t="inlineStr">
        <is>
          <t>淨買差(萬元)</t>
        </is>
      </c>
      <c r="J45" s="1" t="inlineStr">
        <is>
          <t>買均</t>
        </is>
      </c>
      <c r="K45" s="1" t="inlineStr">
        <is>
          <t>賣均</t>
        </is>
      </c>
      <c r="L45" s="1" t="inlineStr">
        <is>
          <t>損益(萬)</t>
        </is>
      </c>
    </row>
    <row r="46" ht="16.5" customHeight="1">
      <c r="B46" s="1" t="inlineStr">
        <is>
          <t>華南永昌-古亭</t>
        </is>
      </c>
      <c r="C46" s="1" t="inlineStr">
        <is>
          <t>9309</t>
        </is>
      </c>
      <c r="D46" s="2" t="inlineStr">
        <is>
          <t>群聯(8299)</t>
        </is>
      </c>
      <c r="E46" s="3" t="n">
        <v>18</v>
      </c>
      <c r="F46" s="3" t="n">
        <v>5</v>
      </c>
      <c r="G46" s="3" t="n">
        <v>4895</v>
      </c>
      <c r="H46" s="3" t="n">
        <v>1446</v>
      </c>
      <c r="I46" s="3" t="n">
        <v>3449</v>
      </c>
      <c r="J46" s="4" t="n">
        <v>2719.61</v>
      </c>
      <c r="K46" s="4" t="n">
        <v>2892.6</v>
      </c>
      <c r="L46" s="6">
        <f>F46*(K46-J46)</f>
        <v/>
      </c>
    </row>
    <row r="47" ht="16.5" customHeight="1">
      <c r="D47" s="2" t="inlineStr">
        <is>
          <t>愛普*(6531)</t>
        </is>
      </c>
      <c r="E47" s="3" t="n">
        <v>30</v>
      </c>
      <c r="F47" s="3" t="n">
        <v>51</v>
      </c>
      <c r="G47" s="3" t="n">
        <v>3202</v>
      </c>
      <c r="H47" s="3" t="n">
        <v>5411</v>
      </c>
      <c r="I47" s="3" t="n">
        <v>-2209</v>
      </c>
      <c r="J47" s="4" t="n">
        <v>1067.3</v>
      </c>
      <c r="K47" s="4" t="n">
        <v>1061</v>
      </c>
      <c r="L47" s="5">
        <f>F47*(K47-J47)</f>
        <v/>
      </c>
    </row>
    <row r="48" ht="16.5" customHeight="1">
      <c r="D48" s="2" t="inlineStr">
        <is>
          <t>主動統一升級50(00403A)</t>
        </is>
      </c>
      <c r="E48" s="3" t="n">
        <v>2400</v>
      </c>
      <c r="F48" s="3" t="n">
        <v>342</v>
      </c>
      <c r="G48" s="3" t="n">
        <v>2580</v>
      </c>
      <c r="H48" s="3" t="n">
        <v>369</v>
      </c>
      <c r="I48" s="3" t="n">
        <v>2211</v>
      </c>
      <c r="J48" s="4" t="n">
        <v>10.75</v>
      </c>
      <c r="K48" s="4" t="n">
        <v>10.79</v>
      </c>
      <c r="L48" s="6">
        <f>F48*(K48-J48)</f>
        <v/>
      </c>
    </row>
    <row r="49" ht="16.5" customHeight="1">
      <c r="D49" s="2" t="inlineStr">
        <is>
          <t>景碩(3189)</t>
        </is>
      </c>
      <c r="E49" s="3" t="n">
        <v>50</v>
      </c>
      <c r="F49" s="3" t="n">
        <v>22</v>
      </c>
      <c r="G49" s="3" t="n">
        <v>2576</v>
      </c>
      <c r="H49" s="3" t="n">
        <v>1112</v>
      </c>
      <c r="I49" s="3" t="n">
        <v>1464</v>
      </c>
      <c r="J49" s="4" t="n">
        <v>515.22</v>
      </c>
      <c r="K49" s="4" t="n">
        <v>505.68</v>
      </c>
      <c r="L49" s="5">
        <f>F49*(K49-J49)</f>
        <v/>
      </c>
    </row>
    <row r="50" ht="16.5" customHeight="1">
      <c r="D50" s="2" t="inlineStr">
        <is>
          <t>譜瑞-KY(4966)</t>
        </is>
      </c>
      <c r="E50" s="3" t="n">
        <v>31</v>
      </c>
      <c r="F50" s="3" t="n">
        <v>6</v>
      </c>
      <c r="G50" s="3" t="n">
        <v>2381</v>
      </c>
      <c r="H50" s="3" t="n">
        <v>458</v>
      </c>
      <c r="I50" s="3" t="n">
        <v>1923</v>
      </c>
      <c r="J50" s="4" t="n">
        <v>767.97</v>
      </c>
      <c r="K50" s="4" t="n">
        <v>762.83</v>
      </c>
      <c r="L50" s="5">
        <f>F50*(K50-J50)</f>
        <v/>
      </c>
    </row>
    <row r="51" ht="16.5" customHeight="1">
      <c r="D51" s="2" t="inlineStr">
        <is>
          <t>華星光(4979)</t>
        </is>
      </c>
      <c r="E51" s="3" t="n">
        <v>31</v>
      </c>
      <c r="F51" s="3" t="n">
        <v>15</v>
      </c>
      <c r="G51" s="3" t="n">
        <v>2056</v>
      </c>
      <c r="H51" s="3" t="n">
        <v>1009</v>
      </c>
      <c r="I51" s="3" t="n">
        <v>1047</v>
      </c>
      <c r="J51" s="4" t="n">
        <v>663.3200000000001</v>
      </c>
      <c r="K51" s="4" t="n">
        <v>672.67</v>
      </c>
      <c r="L51" s="6">
        <f>F51*(K51-J51)</f>
        <v/>
      </c>
    </row>
    <row r="52" ht="16.5" customHeight="1">
      <c r="D52" s="2" t="inlineStr">
        <is>
          <t>聯發科(2454)</t>
        </is>
      </c>
      <c r="E52" s="3" t="n">
        <v>5</v>
      </c>
      <c r="F52" s="3" t="n">
        <v>8</v>
      </c>
      <c r="G52" s="3" t="n">
        <v>1999</v>
      </c>
      <c r="H52" s="3" t="n">
        <v>3053</v>
      </c>
      <c r="I52" s="3" t="n">
        <v>-1054</v>
      </c>
      <c r="J52" s="4" t="n">
        <v>3997.4</v>
      </c>
      <c r="K52" s="4" t="n">
        <v>3816.38</v>
      </c>
      <c r="L52" s="5">
        <f>F52*(K52-J52)</f>
        <v/>
      </c>
    </row>
    <row r="53" ht="16.5" customHeight="1">
      <c r="D53" s="2" t="inlineStr">
        <is>
          <t>振樺電(8114)</t>
        </is>
      </c>
      <c r="E53" s="3" t="n">
        <v>80</v>
      </c>
      <c r="F53" s="3" t="n">
        <v>3</v>
      </c>
      <c r="G53" s="3" t="n">
        <v>1868</v>
      </c>
      <c r="H53" s="3" t="n">
        <v>76</v>
      </c>
      <c r="I53" s="3" t="n">
        <v>1792</v>
      </c>
      <c r="J53" s="4" t="n">
        <v>233.53</v>
      </c>
      <c r="K53" s="4" t="n">
        <v>252.67</v>
      </c>
      <c r="L53" s="6">
        <f>F53*(K53-J53)</f>
        <v/>
      </c>
    </row>
    <row r="54" ht="16.5" customHeight="1">
      <c r="D54" s="2" t="inlineStr">
        <is>
          <t>臻鼎-KY(4958)</t>
        </is>
      </c>
      <c r="E54" s="3" t="n">
        <v>42</v>
      </c>
      <c r="F54" s="3" t="n">
        <v>81</v>
      </c>
      <c r="G54" s="3" t="n">
        <v>1737</v>
      </c>
      <c r="H54" s="3" t="n">
        <v>3407</v>
      </c>
      <c r="I54" s="3" t="n">
        <v>-1670</v>
      </c>
      <c r="J54" s="4" t="n">
        <v>413.55</v>
      </c>
      <c r="K54" s="4" t="n">
        <v>420.62</v>
      </c>
      <c r="L54" s="6">
        <f>F54*(K54-J54)</f>
        <v/>
      </c>
    </row>
    <row r="55" ht="16.5" customHeight="1">
      <c r="D55" s="2" t="inlineStr">
        <is>
          <t>南亞科(2408)</t>
        </is>
      </c>
      <c r="E55" s="3" t="n">
        <v>55</v>
      </c>
      <c r="F55" s="3" t="n">
        <v>102</v>
      </c>
      <c r="G55" s="3" t="n">
        <v>1709</v>
      </c>
      <c r="H55" s="3" t="n">
        <v>3198</v>
      </c>
      <c r="I55" s="3" t="n">
        <v>-1489</v>
      </c>
      <c r="J55" s="4" t="n">
        <v>310.78</v>
      </c>
      <c r="K55" s="4" t="n">
        <v>313.49</v>
      </c>
      <c r="L55" s="6">
        <f>F55*(K55-J55)</f>
        <v/>
      </c>
    </row>
    <row r="56" ht="16.5" customHeight="1">
      <c r="B56" s="1" t="inlineStr">
        <is>
          <t>常下分點</t>
        </is>
      </c>
      <c r="C56" s="1" t="inlineStr">
        <is>
          <t>分點代號</t>
        </is>
      </c>
      <c r="D56" s="1" t="inlineStr">
        <is>
          <t>標的</t>
        </is>
      </c>
      <c r="E56" s="1" t="inlineStr">
        <is>
          <t>買進(張)</t>
        </is>
      </c>
      <c r="F56" s="1" t="inlineStr">
        <is>
          <t>賣出(張)</t>
        </is>
      </c>
      <c r="G56" s="1" t="inlineStr">
        <is>
          <t>買進(萬元)</t>
        </is>
      </c>
      <c r="H56" s="1" t="inlineStr">
        <is>
          <t>賣出(萬元)</t>
        </is>
      </c>
      <c r="I56" s="1" t="inlineStr">
        <is>
          <t>淨買差(萬元)</t>
        </is>
      </c>
      <c r="J56" s="1" t="inlineStr">
        <is>
          <t>買均</t>
        </is>
      </c>
      <c r="K56" s="1" t="inlineStr">
        <is>
          <t>賣均</t>
        </is>
      </c>
      <c r="L56" s="1" t="inlineStr">
        <is>
          <t>損益(萬)</t>
        </is>
      </c>
    </row>
    <row r="57" ht="16.5" customHeight="1">
      <c r="B57" s="1" t="inlineStr">
        <is>
          <t>宏遠證券</t>
        </is>
      </c>
      <c r="C57" s="1" t="inlineStr">
        <is>
          <t>1260</t>
        </is>
      </c>
      <c r="D57" s="2" t="inlineStr">
        <is>
          <t>台積電(2330)</t>
        </is>
      </c>
      <c r="E57" s="3" t="n">
        <v>143</v>
      </c>
      <c r="F57" s="3" t="n">
        <v>222</v>
      </c>
      <c r="G57" s="3" t="n">
        <v>32087</v>
      </c>
      <c r="H57" s="3" t="n">
        <v>49835</v>
      </c>
      <c r="I57" s="3" t="n">
        <v>-17748</v>
      </c>
      <c r="J57" s="4" t="n">
        <v>2243.82</v>
      </c>
      <c r="K57" s="4" t="n">
        <v>2244.82</v>
      </c>
      <c r="L57" s="6">
        <f>F57*(K57-J57)</f>
        <v/>
      </c>
    </row>
    <row r="58" ht="16.5" customHeight="1">
      <c r="D58" s="2" t="inlineStr">
        <is>
          <t>愛普*(6531)</t>
        </is>
      </c>
      <c r="E58" s="3" t="n">
        <v>225</v>
      </c>
      <c r="F58" s="3" t="n">
        <v>52</v>
      </c>
      <c r="G58" s="3" t="n">
        <v>22954</v>
      </c>
      <c r="H58" s="3" t="n">
        <v>4933</v>
      </c>
      <c r="I58" s="3" t="n">
        <v>18021</v>
      </c>
      <c r="J58" s="4" t="n">
        <v>1020.16</v>
      </c>
      <c r="K58" s="4" t="n">
        <v>948.6</v>
      </c>
      <c r="L58" s="5">
        <f>F58*(K58-J58)</f>
        <v/>
      </c>
    </row>
    <row r="59" ht="16.5" customHeight="1">
      <c r="D59" s="2" t="inlineStr">
        <is>
          <t>台達電(2308)</t>
        </is>
      </c>
      <c r="E59" s="3" t="n">
        <v>102</v>
      </c>
      <c r="F59" s="3" t="n">
        <v>50</v>
      </c>
      <c r="G59" s="3" t="n">
        <v>22484</v>
      </c>
      <c r="H59" s="3" t="n">
        <v>11039</v>
      </c>
      <c r="I59" s="3" t="n">
        <v>11445</v>
      </c>
      <c r="J59" s="4" t="n">
        <v>2204.28</v>
      </c>
      <c r="K59" s="4" t="n">
        <v>2207.84</v>
      </c>
      <c r="L59" s="6">
        <f>F59*(K59-J59)</f>
        <v/>
      </c>
    </row>
    <row r="60" ht="16.5" customHeight="1">
      <c r="D60" s="2" t="inlineStr">
        <is>
          <t>京元電子(2449)</t>
        </is>
      </c>
      <c r="E60" s="3" t="n">
        <v>374</v>
      </c>
      <c r="F60" s="3" t="n">
        <v>17</v>
      </c>
      <c r="G60" s="3" t="n">
        <v>11186</v>
      </c>
      <c r="H60" s="3" t="n">
        <v>504</v>
      </c>
      <c r="I60" s="3" t="n">
        <v>10682</v>
      </c>
      <c r="J60" s="4" t="n">
        <v>299.08</v>
      </c>
      <c r="K60" s="4" t="n">
        <v>296.41</v>
      </c>
      <c r="L60" s="5">
        <f>F60*(K60-J60)</f>
        <v/>
      </c>
    </row>
    <row r="61" ht="16.5" customHeight="1">
      <c r="D61" s="2" t="inlineStr">
        <is>
          <t>創意(3443)</t>
        </is>
      </c>
      <c r="E61" s="3" t="n">
        <v>20</v>
      </c>
      <c r="F61" s="3" t="n">
        <v>1</v>
      </c>
      <c r="G61" s="3" t="n">
        <v>11170</v>
      </c>
      <c r="H61" s="3" t="n">
        <v>4</v>
      </c>
      <c r="I61" s="3" t="n">
        <v>11166</v>
      </c>
      <c r="J61" s="4" t="n">
        <v>5584.75</v>
      </c>
      <c r="K61" s="4" t="n">
        <v>40</v>
      </c>
      <c r="L61" s="5">
        <f>F61*(K61-J61)</f>
        <v/>
      </c>
    </row>
    <row r="62" ht="16.5" customHeight="1">
      <c r="D62" s="2" t="inlineStr">
        <is>
          <t>華邦電(2344)</t>
        </is>
      </c>
      <c r="E62" s="3" t="n">
        <v>937</v>
      </c>
      <c r="F62" s="3" t="n">
        <v>490</v>
      </c>
      <c r="G62" s="3" t="n">
        <v>11072</v>
      </c>
      <c r="H62" s="3" t="n">
        <v>5874</v>
      </c>
      <c r="I62" s="3" t="n">
        <v>5198</v>
      </c>
      <c r="J62" s="4" t="n">
        <v>118.16</v>
      </c>
      <c r="K62" s="4" t="n">
        <v>119.88</v>
      </c>
      <c r="L62" s="6">
        <f>F62*(K62-J62)</f>
        <v/>
      </c>
    </row>
    <row r="63" ht="16.5" customHeight="1">
      <c r="D63" s="2" t="inlineStr">
        <is>
          <t>致茂(2360)</t>
        </is>
      </c>
      <c r="E63" s="3" t="n">
        <v>40</v>
      </c>
      <c r="F63" s="3" t="n">
        <v>4</v>
      </c>
      <c r="G63" s="3" t="n">
        <v>9816</v>
      </c>
      <c r="H63" s="3" t="n">
        <v>983</v>
      </c>
      <c r="I63" s="3" t="n">
        <v>8833</v>
      </c>
      <c r="J63" s="4" t="n">
        <v>2454.12</v>
      </c>
      <c r="K63" s="4" t="n">
        <v>2457.5</v>
      </c>
      <c r="L63" s="6">
        <f>F63*(K63-J63)</f>
        <v/>
      </c>
    </row>
    <row r="64" ht="16.5" customHeight="1">
      <c r="D64" s="2" t="inlineStr">
        <is>
          <t>力旺(3529)</t>
        </is>
      </c>
      <c r="E64" s="3" t="n">
        <v>23</v>
      </c>
      <c r="F64" s="3" t="n">
        <v>1</v>
      </c>
      <c r="G64" s="3" t="n">
        <v>9548</v>
      </c>
      <c r="H64" s="3" t="n">
        <v>414</v>
      </c>
      <c r="I64" s="3" t="n">
        <v>9134</v>
      </c>
      <c r="J64" s="4" t="n">
        <v>4151.3</v>
      </c>
      <c r="K64" s="4" t="n">
        <v>4135</v>
      </c>
      <c r="L64" s="5">
        <f>F64*(K64-J64)</f>
        <v/>
      </c>
    </row>
    <row r="65" ht="16.5" customHeight="1">
      <c r="D65" s="2" t="inlineStr">
        <is>
          <t>群聯(8299)</t>
        </is>
      </c>
      <c r="E65" s="3" t="n">
        <v>28</v>
      </c>
      <c r="F65" s="3" t="n">
        <v>92</v>
      </c>
      <c r="G65" s="3" t="n">
        <v>7821</v>
      </c>
      <c r="H65" s="3" t="n">
        <v>25287</v>
      </c>
      <c r="I65" s="3" t="n">
        <v>-17466</v>
      </c>
      <c r="J65" s="4" t="n">
        <v>2793.07</v>
      </c>
      <c r="K65" s="4" t="n">
        <v>2748.58</v>
      </c>
      <c r="L65" s="5">
        <f>F65*(K65-J65)</f>
        <v/>
      </c>
    </row>
    <row r="66" ht="16.5" customHeight="1">
      <c r="D66" s="2" t="inlineStr">
        <is>
          <t>國巨*(2327)</t>
        </is>
      </c>
      <c r="E66" s="3" t="n">
        <v>185</v>
      </c>
      <c r="F66" s="3" t="n">
        <v>15</v>
      </c>
      <c r="G66" s="3" t="n">
        <v>7632</v>
      </c>
      <c r="H66" s="3" t="n">
        <v>612</v>
      </c>
      <c r="I66" s="3" t="n">
        <v>7020</v>
      </c>
      <c r="J66" s="4" t="n">
        <v>412.56</v>
      </c>
      <c r="K66" s="4" t="n">
        <v>407.87</v>
      </c>
      <c r="L66" s="5">
        <f>F66*(K66-J66)</f>
        <v/>
      </c>
    </row>
    <row r="67" ht="16.5" customHeight="1">
      <c r="B67" s="1" t="inlineStr">
        <is>
          <t>常下分點</t>
        </is>
      </c>
      <c r="C67" s="1" t="inlineStr">
        <is>
          <t>分點代號</t>
        </is>
      </c>
      <c r="D67" s="1" t="inlineStr">
        <is>
          <t>標的</t>
        </is>
      </c>
      <c r="E67" s="1" t="inlineStr">
        <is>
          <t>買進(張)</t>
        </is>
      </c>
      <c r="F67" s="1" t="inlineStr">
        <is>
          <t>賣出(張)</t>
        </is>
      </c>
      <c r="G67" s="1" t="inlineStr">
        <is>
          <t>買進(萬元)</t>
        </is>
      </c>
      <c r="H67" s="1" t="inlineStr">
        <is>
          <t>賣出(萬元)</t>
        </is>
      </c>
      <c r="I67" s="1" t="inlineStr">
        <is>
          <t>淨買差(萬元)</t>
        </is>
      </c>
      <c r="J67" s="1" t="inlineStr">
        <is>
          <t>買均</t>
        </is>
      </c>
      <c r="K67" s="1" t="inlineStr">
        <is>
          <t>賣均</t>
        </is>
      </c>
      <c r="L67" s="1" t="inlineStr">
        <is>
          <t>損益(萬)</t>
        </is>
      </c>
    </row>
    <row r="68" ht="16.5" customHeight="1">
      <c r="B68" s="1" t="inlineStr">
        <is>
          <t>凱基-信義</t>
        </is>
      </c>
      <c r="C68" s="1" t="inlineStr">
        <is>
          <t>9216</t>
        </is>
      </c>
      <c r="D68" s="2" t="inlineStr">
        <is>
          <t>聯電(2303)</t>
        </is>
      </c>
      <c r="E68" s="3" t="n">
        <v>14076</v>
      </c>
      <c r="F68" s="3" t="n">
        <v>8926</v>
      </c>
      <c r="G68" s="3" t="n">
        <v>146913</v>
      </c>
      <c r="H68" s="3" t="n">
        <v>92953</v>
      </c>
      <c r="I68" s="3" t="n">
        <v>53960</v>
      </c>
      <c r="J68" s="4" t="n">
        <v>104.37</v>
      </c>
      <c r="K68" s="4" t="n">
        <v>104.14</v>
      </c>
      <c r="L68" s="5">
        <f>F68*(K68-J68)</f>
        <v/>
      </c>
    </row>
    <row r="69" ht="16.5" customHeight="1">
      <c r="D69" s="2" t="inlineStr">
        <is>
          <t>光寶科(2301)</t>
        </is>
      </c>
      <c r="E69" s="3" t="n">
        <v>2082</v>
      </c>
      <c r="F69" s="3" t="n">
        <v>3555</v>
      </c>
      <c r="G69" s="3" t="n">
        <v>51135</v>
      </c>
      <c r="H69" s="3" t="n">
        <v>87222</v>
      </c>
      <c r="I69" s="3" t="n">
        <v>-36087</v>
      </c>
      <c r="J69" s="4" t="n">
        <v>245.6</v>
      </c>
      <c r="K69" s="4" t="n">
        <v>245.35</v>
      </c>
      <c r="L69" s="5">
        <f>F69*(K69-J69)</f>
        <v/>
      </c>
    </row>
    <row r="70" ht="16.5" customHeight="1">
      <c r="D70" s="2" t="inlineStr">
        <is>
          <t>群創(3481)</t>
        </is>
      </c>
      <c r="E70" s="3" t="n">
        <v>10410</v>
      </c>
      <c r="F70" s="3" t="n">
        <v>3965</v>
      </c>
      <c r="G70" s="3" t="n">
        <v>36458</v>
      </c>
      <c r="H70" s="3" t="n">
        <v>13745</v>
      </c>
      <c r="I70" s="3" t="n">
        <v>22713</v>
      </c>
      <c r="J70" s="4" t="n">
        <v>35.02</v>
      </c>
      <c r="K70" s="4" t="n">
        <v>34.67</v>
      </c>
      <c r="L70" s="5">
        <f>F70*(K70-J70)</f>
        <v/>
      </c>
    </row>
    <row r="71" ht="16.5" customHeight="1">
      <c r="D71" s="2" t="inlineStr">
        <is>
          <t>新盛力(4931)</t>
        </is>
      </c>
      <c r="E71" s="3" t="n">
        <v>1683</v>
      </c>
      <c r="F71" s="3" t="n">
        <v>28</v>
      </c>
      <c r="G71" s="3" t="n">
        <v>34433</v>
      </c>
      <c r="H71" s="3" t="n">
        <v>556</v>
      </c>
      <c r="I71" s="3" t="n">
        <v>33877</v>
      </c>
      <c r="J71" s="4" t="n">
        <v>204.59</v>
      </c>
      <c r="K71" s="4" t="n">
        <v>198.68</v>
      </c>
      <c r="L71" s="5">
        <f>F71*(K71-J71)</f>
        <v/>
      </c>
    </row>
    <row r="72" ht="16.5" customHeight="1">
      <c r="D72" s="2" t="inlineStr">
        <is>
          <t>凌航(3135)</t>
        </is>
      </c>
      <c r="E72" s="3" t="n">
        <v>1392</v>
      </c>
      <c r="F72" s="3" t="n">
        <v>1</v>
      </c>
      <c r="G72" s="3" t="n">
        <v>29719</v>
      </c>
      <c r="H72" s="3" t="n">
        <v>1</v>
      </c>
      <c r="I72" s="3" t="n">
        <v>29718</v>
      </c>
      <c r="J72" s="4" t="n">
        <v>213.5</v>
      </c>
      <c r="K72" s="4" t="n">
        <v>12</v>
      </c>
      <c r="L72" s="5">
        <f>F72*(K72-J72)</f>
        <v/>
      </c>
    </row>
    <row r="73" ht="16.5" customHeight="1">
      <c r="D73" s="2" t="inlineStr">
        <is>
          <t>愛普*(6531)</t>
        </is>
      </c>
      <c r="E73" s="3" t="n">
        <v>273</v>
      </c>
      <c r="F73" s="3" t="n">
        <v>3</v>
      </c>
      <c r="G73" s="3" t="n">
        <v>28136</v>
      </c>
      <c r="H73" s="3" t="n">
        <v>309</v>
      </c>
      <c r="I73" s="3" t="n">
        <v>27827</v>
      </c>
      <c r="J73" s="4" t="n">
        <v>1030.62</v>
      </c>
      <c r="K73" s="4" t="n">
        <v>1028.67</v>
      </c>
      <c r="L73" s="5">
        <f>F73*(K73-J73)</f>
        <v/>
      </c>
    </row>
    <row r="74" ht="16.5" customHeight="1">
      <c r="D74" s="2" t="inlineStr">
        <is>
          <t>大立光(3008)</t>
        </is>
      </c>
      <c r="E74" s="3" t="n">
        <v>100</v>
      </c>
      <c r="F74" s="3" t="n">
        <v>1</v>
      </c>
      <c r="G74" s="3" t="n">
        <v>27950</v>
      </c>
      <c r="H74" s="3" t="n">
        <v>205</v>
      </c>
      <c r="I74" s="3" t="n">
        <v>27745</v>
      </c>
      <c r="J74" s="4" t="n">
        <v>2795</v>
      </c>
      <c r="K74" s="4" t="n">
        <v>2050</v>
      </c>
      <c r="L74" s="5">
        <f>F74*(K74-J74)</f>
        <v/>
      </c>
    </row>
    <row r="75" ht="16.5" customHeight="1">
      <c r="D75" s="2" t="inlineStr">
        <is>
          <t>尖點(8021)</t>
        </is>
      </c>
      <c r="E75" s="3" t="n">
        <v>541</v>
      </c>
      <c r="F75" s="3" t="n">
        <v>4</v>
      </c>
      <c r="G75" s="3" t="n">
        <v>25498</v>
      </c>
      <c r="H75" s="3" t="n">
        <v>187</v>
      </c>
      <c r="I75" s="3" t="n">
        <v>25311</v>
      </c>
      <c r="J75" s="4" t="n">
        <v>471.3</v>
      </c>
      <c r="K75" s="4" t="n">
        <v>467.5</v>
      </c>
      <c r="L75" s="5">
        <f>F75*(K75-J75)</f>
        <v/>
      </c>
    </row>
    <row r="76" ht="16.5" customHeight="1">
      <c r="D76" s="2" t="inlineStr">
        <is>
          <t>南亞科(2408)</t>
        </is>
      </c>
      <c r="E76" s="3" t="n">
        <v>469</v>
      </c>
      <c r="F76" s="3" t="n">
        <v>2864</v>
      </c>
      <c r="G76" s="3" t="n">
        <v>14872</v>
      </c>
      <c r="H76" s="3" t="n">
        <v>89108</v>
      </c>
      <c r="I76" s="3" t="n">
        <v>-74236</v>
      </c>
      <c r="J76" s="4" t="n">
        <v>317.11</v>
      </c>
      <c r="K76" s="4" t="n">
        <v>311.13</v>
      </c>
      <c r="L76" s="5">
        <f>F76*(K76-J76)</f>
        <v/>
      </c>
    </row>
    <row r="77" ht="16.5" customHeight="1">
      <c r="D77" s="2" t="inlineStr">
        <is>
          <t>緯穎(6669)</t>
        </is>
      </c>
      <c r="E77" s="3" t="n">
        <v>23</v>
      </c>
      <c r="F77" s="3" t="n">
        <v>1</v>
      </c>
      <c r="G77" s="3" t="n">
        <v>13159</v>
      </c>
      <c r="H77" s="3" t="n">
        <v>580</v>
      </c>
      <c r="I77" s="3" t="n">
        <v>12579</v>
      </c>
      <c r="J77" s="4" t="n">
        <v>5721.35</v>
      </c>
      <c r="K77" s="4" t="n">
        <v>5805</v>
      </c>
      <c r="L77" s="6">
        <f>F77*(K77-J77)</f>
        <v/>
      </c>
    </row>
    <row r="78" ht="16.5" customHeight="1">
      <c r="A78" s="1" t="inlineStr">
        <is>
          <t>高手</t>
        </is>
      </c>
      <c r="B78" s="1" t="inlineStr">
        <is>
          <t>常下分點</t>
        </is>
      </c>
      <c r="C78" s="1" t="inlineStr">
        <is>
          <t>分點代號</t>
        </is>
      </c>
      <c r="D78" s="1" t="inlineStr">
        <is>
          <t>標的</t>
        </is>
      </c>
      <c r="E78" s="1" t="inlineStr">
        <is>
          <t>買進(張)</t>
        </is>
      </c>
      <c r="F78" s="1" t="inlineStr">
        <is>
          <t>賣出(張)</t>
        </is>
      </c>
      <c r="G78" s="1" t="inlineStr">
        <is>
          <t>買進(萬元)</t>
        </is>
      </c>
      <c r="H78" s="1" t="inlineStr">
        <is>
          <t>賣出(萬元)</t>
        </is>
      </c>
      <c r="I78" s="1" t="inlineStr">
        <is>
          <t>淨買差(萬元)</t>
        </is>
      </c>
      <c r="J78" s="1" t="inlineStr">
        <is>
          <t>買均</t>
        </is>
      </c>
      <c r="K78" s="1" t="inlineStr">
        <is>
          <t>賣均</t>
        </is>
      </c>
      <c r="L78" s="1" t="inlineStr">
        <is>
          <t>損益(萬)</t>
        </is>
      </c>
    </row>
    <row r="79" ht="16.5" customHeight="1">
      <c r="A79" s="1" t="inlineStr">
        <is>
          <t>張濬安(航海王)</t>
        </is>
      </c>
      <c r="B79" s="1" t="inlineStr">
        <is>
          <t>國票-安和</t>
        </is>
      </c>
      <c r="C79" s="1" t="inlineStr">
        <is>
          <t>779Z</t>
        </is>
      </c>
      <c r="D79" s="2" t="inlineStr">
        <is>
          <t>聯電(2303)</t>
        </is>
      </c>
      <c r="E79" s="3" t="n">
        <v>3710</v>
      </c>
      <c r="F79" s="3" t="n">
        <v>268</v>
      </c>
      <c r="G79" s="3" t="n">
        <v>38236</v>
      </c>
      <c r="H79" s="3" t="n">
        <v>2680</v>
      </c>
      <c r="I79" s="3" t="n">
        <v>35556</v>
      </c>
      <c r="J79" s="4" t="n">
        <v>103.06</v>
      </c>
      <c r="K79" s="4" t="n">
        <v>100.01</v>
      </c>
      <c r="L79" s="5">
        <f>F79*(K79-J79)</f>
        <v/>
      </c>
    </row>
    <row r="80" ht="16.5" customHeight="1">
      <c r="D80" s="2" t="inlineStr">
        <is>
          <t>群創(3481)</t>
        </is>
      </c>
      <c r="E80" s="3" t="n">
        <v>9841</v>
      </c>
      <c r="F80" s="3" t="n">
        <v>3274</v>
      </c>
      <c r="G80" s="3" t="n">
        <v>34913</v>
      </c>
      <c r="H80" s="3" t="n">
        <v>11334</v>
      </c>
      <c r="I80" s="3" t="n">
        <v>23579</v>
      </c>
      <c r="J80" s="4" t="n">
        <v>35.48</v>
      </c>
      <c r="K80" s="4" t="n">
        <v>34.62</v>
      </c>
      <c r="L80" s="5">
        <f>F80*(K80-J80)</f>
        <v/>
      </c>
    </row>
    <row r="81" ht="16.5" customHeight="1">
      <c r="D81" s="2" t="inlineStr">
        <is>
          <t>緯穎(6669)</t>
        </is>
      </c>
      <c r="E81" s="3" t="n">
        <v>28</v>
      </c>
      <c r="F81" s="3" t="n">
        <v>16</v>
      </c>
      <c r="G81" s="3" t="n">
        <v>16377</v>
      </c>
      <c r="H81" s="3" t="n">
        <v>9325</v>
      </c>
      <c r="I81" s="3" t="n">
        <v>7052</v>
      </c>
      <c r="J81" s="4" t="n">
        <v>5848.96</v>
      </c>
      <c r="K81" s="4" t="n">
        <v>5828.12</v>
      </c>
      <c r="L81" s="5">
        <f>F81*(K81-J81)</f>
        <v/>
      </c>
    </row>
    <row r="82" ht="16.5" customHeight="1">
      <c r="D82" s="2" t="inlineStr">
        <is>
          <t>新應材(4749)</t>
        </is>
      </c>
      <c r="E82" s="3" t="n">
        <v>125</v>
      </c>
      <c r="F82" s="3" t="n">
        <v>42</v>
      </c>
      <c r="G82" s="3" t="n">
        <v>14420</v>
      </c>
      <c r="H82" s="3" t="n">
        <v>4788</v>
      </c>
      <c r="I82" s="3" t="n">
        <v>9632</v>
      </c>
      <c r="J82" s="4" t="n">
        <v>1153.58</v>
      </c>
      <c r="K82" s="4" t="n">
        <v>1139.88</v>
      </c>
      <c r="L82" s="5">
        <f>F82*(K82-J82)</f>
        <v/>
      </c>
    </row>
    <row r="83" ht="16.5" customHeight="1">
      <c r="D83" s="2" t="inlineStr">
        <is>
          <t>眾達-KY(4977)</t>
        </is>
      </c>
      <c r="E83" s="3" t="n">
        <v>470</v>
      </c>
      <c r="F83" s="3" t="n">
        <v>64</v>
      </c>
      <c r="G83" s="3" t="n">
        <v>12486</v>
      </c>
      <c r="H83" s="3" t="n">
        <v>1676</v>
      </c>
      <c r="I83" s="3" t="n">
        <v>10810</v>
      </c>
      <c r="J83" s="4" t="n">
        <v>265.66</v>
      </c>
      <c r="K83" s="4" t="n">
        <v>261.83</v>
      </c>
      <c r="L83" s="5">
        <f>F83*(K83-J83)</f>
        <v/>
      </c>
    </row>
    <row r="84" ht="16.5" customHeight="1">
      <c r="D84" s="2" t="inlineStr">
        <is>
          <t>元太(8069)</t>
        </is>
      </c>
      <c r="E84" s="3" t="n">
        <v>623</v>
      </c>
      <c r="F84" s="3" t="n">
        <v>150</v>
      </c>
      <c r="G84" s="3" t="n">
        <v>12170</v>
      </c>
      <c r="H84" s="3" t="n">
        <v>2927</v>
      </c>
      <c r="I84" s="3" t="n">
        <v>9243</v>
      </c>
      <c r="J84" s="4" t="n">
        <v>195.34</v>
      </c>
      <c r="K84" s="4" t="n">
        <v>195.13</v>
      </c>
      <c r="L84" s="5">
        <f>F84*(K84-J84)</f>
        <v/>
      </c>
    </row>
    <row r="85" ht="16.5" customHeight="1">
      <c r="D85" s="2" t="inlineStr">
        <is>
          <t>微星(2377)</t>
        </is>
      </c>
      <c r="E85" s="3" t="n">
        <v>737</v>
      </c>
      <c r="F85" s="3" t="n">
        <v>147</v>
      </c>
      <c r="G85" s="3" t="n">
        <v>8134</v>
      </c>
      <c r="H85" s="3" t="n">
        <v>1666</v>
      </c>
      <c r="I85" s="3" t="n">
        <v>6468</v>
      </c>
      <c r="J85" s="4" t="n">
        <v>110.37</v>
      </c>
      <c r="K85" s="4" t="n">
        <v>113.31</v>
      </c>
      <c r="L85" s="6">
        <f>F85*(K85-J85)</f>
        <v/>
      </c>
    </row>
    <row r="86" ht="16.5" customHeight="1">
      <c r="D86" s="2" t="inlineStr">
        <is>
          <t>旺矽(6223)</t>
        </is>
      </c>
      <c r="E86" s="3" t="n">
        <v>14</v>
      </c>
      <c r="F86" s="3" t="n">
        <v>2</v>
      </c>
      <c r="G86" s="3" t="n">
        <v>7662</v>
      </c>
      <c r="H86" s="3" t="n">
        <v>1195</v>
      </c>
      <c r="I86" s="3" t="n">
        <v>6467</v>
      </c>
      <c r="J86" s="4" t="n">
        <v>5473.21</v>
      </c>
      <c r="K86" s="4" t="n">
        <v>5976.5</v>
      </c>
      <c r="L86" s="6">
        <f>F86*(K86-J86)</f>
        <v/>
      </c>
    </row>
    <row r="87" ht="16.5" customHeight="1">
      <c r="D87" s="2" t="inlineStr">
        <is>
          <t>欣興(3037)</t>
        </is>
      </c>
      <c r="E87" s="3" t="n">
        <v>85</v>
      </c>
      <c r="F87" s="3" t="n">
        <v>103</v>
      </c>
      <c r="G87" s="3" t="n">
        <v>7474</v>
      </c>
      <c r="H87" s="3" t="n">
        <v>8997</v>
      </c>
      <c r="I87" s="3" t="n">
        <v>-1523</v>
      </c>
      <c r="J87" s="4" t="n">
        <v>879.35</v>
      </c>
      <c r="K87" s="4" t="n">
        <v>873.49</v>
      </c>
      <c r="L87" s="5">
        <f>F87*(K87-J87)</f>
        <v/>
      </c>
    </row>
    <row r="88" ht="16.5" customHeight="1">
      <c r="D88" s="2" t="inlineStr">
        <is>
          <t>順德(2351)</t>
        </is>
      </c>
      <c r="E88" s="3" t="n">
        <v>396</v>
      </c>
      <c r="F88" s="3" t="n">
        <v>67</v>
      </c>
      <c r="G88" s="3" t="n">
        <v>7152</v>
      </c>
      <c r="H88" s="3" t="n">
        <v>1223</v>
      </c>
      <c r="I88" s="3" t="n">
        <v>5929</v>
      </c>
      <c r="J88" s="4" t="n">
        <v>180.6</v>
      </c>
      <c r="K88" s="4" t="n">
        <v>182.55</v>
      </c>
      <c r="L88" s="6">
        <f>F88*(K88-J88)</f>
        <v/>
      </c>
    </row>
    <row r="89" ht="16.5" customHeight="1">
      <c r="B89" s="1" t="inlineStr">
        <is>
          <t>常下分點</t>
        </is>
      </c>
      <c r="C89" s="1" t="inlineStr">
        <is>
          <t>分點代號</t>
        </is>
      </c>
      <c r="D89" s="1" t="inlineStr">
        <is>
          <t>標的</t>
        </is>
      </c>
      <c r="E89" s="1" t="inlineStr">
        <is>
          <t>買進(張)</t>
        </is>
      </c>
      <c r="F89" s="1" t="inlineStr">
        <is>
          <t>賣出(張)</t>
        </is>
      </c>
      <c r="G89" s="1" t="inlineStr">
        <is>
          <t>買進(萬元)</t>
        </is>
      </c>
      <c r="H89" s="1" t="inlineStr">
        <is>
          <t>賣出(萬元)</t>
        </is>
      </c>
      <c r="I89" s="1" t="inlineStr">
        <is>
          <t>淨買差(萬元)</t>
        </is>
      </c>
      <c r="J89" s="1" t="inlineStr">
        <is>
          <t>買均</t>
        </is>
      </c>
      <c r="K89" s="1" t="inlineStr">
        <is>
          <t>賣均</t>
        </is>
      </c>
      <c r="L89" s="1" t="inlineStr">
        <is>
          <t>損益(萬)</t>
        </is>
      </c>
    </row>
    <row r="90" ht="16.5" customHeight="1">
      <c r="B90" s="1" t="inlineStr">
        <is>
          <t>台新-城中</t>
        </is>
      </c>
      <c r="C90" s="1" t="inlineStr">
        <is>
          <t>9B2E</t>
        </is>
      </c>
      <c r="D90" s="2" t="inlineStr">
        <is>
          <t>群聯(8299)</t>
        </is>
      </c>
      <c r="E90" s="3" t="n">
        <v>30</v>
      </c>
      <c r="F90" s="3" t="n">
        <v>19</v>
      </c>
      <c r="G90" s="3" t="n">
        <v>8193</v>
      </c>
      <c r="H90" s="3" t="n">
        <v>5118</v>
      </c>
      <c r="I90" s="3" t="n">
        <v>3075</v>
      </c>
      <c r="J90" s="4" t="n">
        <v>2730.97</v>
      </c>
      <c r="K90" s="4" t="n">
        <v>2693.47</v>
      </c>
      <c r="L90" s="5">
        <f>F90*(K90-J90)</f>
        <v/>
      </c>
    </row>
    <row r="91" ht="16.5" customHeight="1">
      <c r="D91" s="2" t="inlineStr">
        <is>
          <t>台積電(2330)</t>
        </is>
      </c>
      <c r="E91" s="3" t="n">
        <v>25</v>
      </c>
      <c r="F91" s="3" t="n">
        <v>10</v>
      </c>
      <c r="G91" s="3" t="n">
        <v>5548</v>
      </c>
      <c r="H91" s="3" t="n">
        <v>2332</v>
      </c>
      <c r="I91" s="3" t="n">
        <v>3216</v>
      </c>
      <c r="J91" s="4" t="n">
        <v>2219.12</v>
      </c>
      <c r="K91" s="4" t="n">
        <v>2332.2</v>
      </c>
      <c r="L91" s="6">
        <f>F91*(K91-J91)</f>
        <v/>
      </c>
    </row>
    <row r="92" ht="16.5" customHeight="1">
      <c r="D92" s="2" t="inlineStr">
        <is>
          <t>聯發科(2454)</t>
        </is>
      </c>
      <c r="E92" s="3" t="n">
        <v>13</v>
      </c>
      <c r="F92" s="3" t="n">
        <v>1</v>
      </c>
      <c r="G92" s="3" t="n">
        <v>4841</v>
      </c>
      <c r="H92" s="3" t="n">
        <v>159</v>
      </c>
      <c r="I92" s="3" t="n">
        <v>4682</v>
      </c>
      <c r="J92" s="4" t="n">
        <v>3723.62</v>
      </c>
      <c r="K92" s="4" t="n">
        <v>1592</v>
      </c>
      <c r="L92" s="5">
        <f>F92*(K92-J92)</f>
        <v/>
      </c>
    </row>
    <row r="93" ht="16.5" customHeight="1">
      <c r="D93" s="2" t="inlineStr">
        <is>
          <t>創意(3443)</t>
        </is>
      </c>
      <c r="E93" s="3" t="n">
        <v>7</v>
      </c>
      <c r="F93" s="3" t="n">
        <v>4</v>
      </c>
      <c r="G93" s="3" t="n">
        <v>4094</v>
      </c>
      <c r="H93" s="3" t="n">
        <v>2262</v>
      </c>
      <c r="I93" s="3" t="n">
        <v>1832</v>
      </c>
      <c r="J93" s="4" t="n">
        <v>5848.71</v>
      </c>
      <c r="K93" s="4" t="n">
        <v>5656.25</v>
      </c>
      <c r="L93" s="5">
        <f>F93*(K93-J93)</f>
        <v/>
      </c>
    </row>
    <row r="94" ht="16.5" customHeight="1">
      <c r="D94" s="2" t="inlineStr">
        <is>
          <t>主動統一升級50(00403A)</t>
        </is>
      </c>
      <c r="E94" s="3" t="n">
        <v>3238</v>
      </c>
      <c r="F94" s="3" t="n">
        <v>707</v>
      </c>
      <c r="G94" s="3" t="n">
        <v>3474</v>
      </c>
      <c r="H94" s="3" t="n">
        <v>758</v>
      </c>
      <c r="I94" s="3" t="n">
        <v>2716</v>
      </c>
      <c r="J94" s="4" t="n">
        <v>10.73</v>
      </c>
      <c r="K94" s="4" t="n">
        <v>10.72</v>
      </c>
      <c r="L94" s="5">
        <f>F94*(K94-J94)</f>
        <v/>
      </c>
    </row>
    <row r="95" ht="16.5" customHeight="1">
      <c r="D95" s="2" t="inlineStr">
        <is>
          <t>緯穎(6669)</t>
        </is>
      </c>
      <c r="E95" s="3" t="n">
        <v>4</v>
      </c>
      <c r="F95" s="3" t="n">
        <v>3</v>
      </c>
      <c r="G95" s="3" t="n">
        <v>2289</v>
      </c>
      <c r="H95" s="3" t="n">
        <v>1837</v>
      </c>
      <c r="I95" s="3" t="n">
        <v>452</v>
      </c>
      <c r="J95" s="4" t="n">
        <v>5723.25</v>
      </c>
      <c r="K95" s="4" t="n">
        <v>6124</v>
      </c>
      <c r="L95" s="6">
        <f>F95*(K95-J95)</f>
        <v/>
      </c>
    </row>
    <row r="96" ht="16.5" customHeight="1">
      <c r="D96" s="2" t="inlineStr">
        <is>
          <t>力旺(3529)</t>
        </is>
      </c>
      <c r="E96" s="3" t="n">
        <v>5</v>
      </c>
      <c r="F96" s="3" t="n">
        <v>1</v>
      </c>
      <c r="G96" s="3" t="n">
        <v>2133</v>
      </c>
      <c r="H96" s="3" t="n">
        <v>2</v>
      </c>
      <c r="I96" s="3" t="n">
        <v>2131</v>
      </c>
      <c r="J96" s="4" t="n">
        <v>4266.8</v>
      </c>
      <c r="K96" s="4" t="n">
        <v>25</v>
      </c>
      <c r="L96" s="5">
        <f>F96*(K96-J96)</f>
        <v/>
      </c>
    </row>
    <row r="97" ht="16.5" customHeight="1">
      <c r="D97" s="2" t="inlineStr">
        <is>
          <t>國巨*(2327)</t>
        </is>
      </c>
      <c r="E97" s="3" t="n">
        <v>50</v>
      </c>
      <c r="F97" s="3" t="n">
        <v>42</v>
      </c>
      <c r="G97" s="3" t="n">
        <v>2090</v>
      </c>
      <c r="H97" s="3" t="n">
        <v>1751</v>
      </c>
      <c r="I97" s="3" t="n">
        <v>339</v>
      </c>
      <c r="J97" s="4" t="n">
        <v>417.9</v>
      </c>
      <c r="K97" s="4" t="n">
        <v>416.9</v>
      </c>
      <c r="L97" s="5">
        <f>F97*(K97-J97)</f>
        <v/>
      </c>
    </row>
    <row r="98" ht="16.5" customHeight="1">
      <c r="D98" s="2" t="inlineStr">
        <is>
          <t>健策(3653)</t>
        </is>
      </c>
      <c r="E98" s="3" t="n">
        <v>5</v>
      </c>
      <c r="F98" s="3" t="n">
        <v>2</v>
      </c>
      <c r="G98" s="3" t="n">
        <v>2059</v>
      </c>
      <c r="H98" s="3" t="n">
        <v>819</v>
      </c>
      <c r="I98" s="3" t="n">
        <v>1240</v>
      </c>
      <c r="J98" s="4" t="n">
        <v>4118.8</v>
      </c>
      <c r="K98" s="4" t="n">
        <v>4095</v>
      </c>
      <c r="L98" s="5">
        <f>F98*(K98-J98)</f>
        <v/>
      </c>
    </row>
    <row r="99" ht="16.5" customHeight="1">
      <c r="D99" s="2" t="inlineStr">
        <is>
          <t>南亞科(2408)</t>
        </is>
      </c>
      <c r="E99" s="3" t="n">
        <v>61</v>
      </c>
      <c r="F99" s="3" t="n">
        <v>95</v>
      </c>
      <c r="G99" s="3" t="n">
        <v>1913</v>
      </c>
      <c r="H99" s="3" t="n">
        <v>2950</v>
      </c>
      <c r="I99" s="3" t="n">
        <v>-1037</v>
      </c>
      <c r="J99" s="4" t="n">
        <v>313.57</v>
      </c>
      <c r="K99" s="4" t="n">
        <v>310.51</v>
      </c>
      <c r="L99" s="5">
        <f>F99*(K99-J99)</f>
        <v/>
      </c>
    </row>
    <row r="100" ht="16.5" customHeight="1">
      <c r="B100" s="1" t="inlineStr">
        <is>
          <t>常下分點</t>
        </is>
      </c>
      <c r="C100" s="1" t="inlineStr">
        <is>
          <t>分點代號</t>
        </is>
      </c>
      <c r="D100" s="1" t="inlineStr">
        <is>
          <t>標的</t>
        </is>
      </c>
      <c r="E100" s="1" t="inlineStr">
        <is>
          <t>買進(張)</t>
        </is>
      </c>
      <c r="F100" s="1" t="inlineStr">
        <is>
          <t>賣出(張)</t>
        </is>
      </c>
      <c r="G100" s="1" t="inlineStr">
        <is>
          <t>買進(萬元)</t>
        </is>
      </c>
      <c r="H100" s="1" t="inlineStr">
        <is>
          <t>賣出(萬元)</t>
        </is>
      </c>
      <c r="I100" s="1" t="inlineStr">
        <is>
          <t>淨買差(萬元)</t>
        </is>
      </c>
      <c r="J100" s="1" t="inlineStr">
        <is>
          <t>買均</t>
        </is>
      </c>
      <c r="K100" s="1" t="inlineStr">
        <is>
          <t>賣均</t>
        </is>
      </c>
      <c r="L100" s="1" t="inlineStr">
        <is>
          <t>損益(萬)</t>
        </is>
      </c>
    </row>
    <row r="101" ht="16.5" customHeight="1">
      <c r="B101" s="1" t="inlineStr">
        <is>
          <t>凱基-站前</t>
        </is>
      </c>
      <c r="C101" s="1" t="inlineStr">
        <is>
          <t>920F</t>
        </is>
      </c>
      <c r="D101" s="2" t="inlineStr">
        <is>
          <t>聯電(2303)</t>
        </is>
      </c>
      <c r="E101" s="3" t="n">
        <v>17287</v>
      </c>
      <c r="F101" s="3" t="n">
        <v>16887</v>
      </c>
      <c r="G101" s="3" t="n">
        <v>180489</v>
      </c>
      <c r="H101" s="3" t="n">
        <v>176187</v>
      </c>
      <c r="I101" s="3" t="n">
        <v>4302</v>
      </c>
      <c r="J101" s="4" t="n">
        <v>104.41</v>
      </c>
      <c r="K101" s="4" t="n">
        <v>104.33</v>
      </c>
      <c r="L101" s="5">
        <f>F101*(K101-J101)</f>
        <v/>
      </c>
    </row>
    <row r="102" ht="16.5" customHeight="1">
      <c r="D102" s="2" t="inlineStr">
        <is>
          <t>台積電(2330)</t>
        </is>
      </c>
      <c r="E102" s="3" t="n">
        <v>347</v>
      </c>
      <c r="F102" s="3" t="n">
        <v>40</v>
      </c>
      <c r="G102" s="3" t="n">
        <v>78060</v>
      </c>
      <c r="H102" s="3" t="n">
        <v>9050</v>
      </c>
      <c r="I102" s="3" t="n">
        <v>69010</v>
      </c>
      <c r="J102" s="4" t="n">
        <v>2249.56</v>
      </c>
      <c r="K102" s="4" t="n">
        <v>2262.5</v>
      </c>
      <c r="L102" s="6">
        <f>F102*(K102-J102)</f>
        <v/>
      </c>
    </row>
    <row r="103" ht="16.5" customHeight="1">
      <c r="D103" s="2" t="inlineStr">
        <is>
          <t>大立光(3008)</t>
        </is>
      </c>
      <c r="E103" s="3" t="n">
        <v>226</v>
      </c>
      <c r="F103" s="3" t="n">
        <v>25</v>
      </c>
      <c r="G103" s="3" t="n">
        <v>62914</v>
      </c>
      <c r="H103" s="3" t="n">
        <v>6979</v>
      </c>
      <c r="I103" s="3" t="n">
        <v>55935</v>
      </c>
      <c r="J103" s="4" t="n">
        <v>2783.81</v>
      </c>
      <c r="K103" s="4" t="n">
        <v>2791.6</v>
      </c>
      <c r="L103" s="6">
        <f>F103*(K103-J103)</f>
        <v/>
      </c>
    </row>
    <row r="104" ht="16.5" customHeight="1">
      <c r="D104" s="2" t="inlineStr">
        <is>
          <t>鴻勁(7769)</t>
        </is>
      </c>
      <c r="E104" s="3" t="n">
        <v>70</v>
      </c>
      <c r="F104" s="3" t="n">
        <v>2</v>
      </c>
      <c r="G104" s="3" t="n">
        <v>48403</v>
      </c>
      <c r="H104" s="3" t="n">
        <v>1539</v>
      </c>
      <c r="I104" s="3" t="n">
        <v>46864</v>
      </c>
      <c r="J104" s="4" t="n">
        <v>6914.66</v>
      </c>
      <c r="K104" s="4" t="n">
        <v>7693</v>
      </c>
      <c r="L104" s="6">
        <f>F104*(K104-J104)</f>
        <v/>
      </c>
    </row>
    <row r="105" ht="16.5" customHeight="1">
      <c r="D105" s="2" t="inlineStr">
        <is>
          <t>聯亞(3081)</t>
        </is>
      </c>
      <c r="E105" s="3" t="n">
        <v>138</v>
      </c>
      <c r="F105" s="3" t="n">
        <v>36</v>
      </c>
      <c r="G105" s="3" t="n">
        <v>42197</v>
      </c>
      <c r="H105" s="3" t="n">
        <v>10855</v>
      </c>
      <c r="I105" s="3" t="n">
        <v>31342</v>
      </c>
      <c r="J105" s="4" t="n">
        <v>3057.75</v>
      </c>
      <c r="K105" s="4" t="n">
        <v>3015.28</v>
      </c>
      <c r="L105" s="5">
        <f>F105*(K105-J105)</f>
        <v/>
      </c>
    </row>
    <row r="106" ht="16.5" customHeight="1">
      <c r="D106" s="2" t="inlineStr">
        <is>
          <t>雙鴻(3324)</t>
        </is>
      </c>
      <c r="E106" s="3" t="n">
        <v>309</v>
      </c>
      <c r="F106" s="3" t="n">
        <v>3</v>
      </c>
      <c r="G106" s="3" t="n">
        <v>33156</v>
      </c>
      <c r="H106" s="3" t="n">
        <v>268</v>
      </c>
      <c r="I106" s="3" t="n">
        <v>32888</v>
      </c>
      <c r="J106" s="4" t="n">
        <v>1073.01</v>
      </c>
      <c r="K106" s="4" t="n">
        <v>891.67</v>
      </c>
      <c r="L106" s="5">
        <f>F106*(K106-J106)</f>
        <v/>
      </c>
    </row>
    <row r="107" ht="16.5" customHeight="1">
      <c r="D107" s="2" t="inlineStr">
        <is>
          <t>欣興(3037)</t>
        </is>
      </c>
      <c r="E107" s="3" t="n">
        <v>349</v>
      </c>
      <c r="F107" s="3" t="n">
        <v>79</v>
      </c>
      <c r="G107" s="3" t="n">
        <v>30868</v>
      </c>
      <c r="H107" s="3" t="n">
        <v>7142</v>
      </c>
      <c r="I107" s="3" t="n">
        <v>23726</v>
      </c>
      <c r="J107" s="4" t="n">
        <v>884.47</v>
      </c>
      <c r="K107" s="4" t="n">
        <v>903.99</v>
      </c>
      <c r="L107" s="6">
        <f>F107*(K107-J107)</f>
        <v/>
      </c>
    </row>
    <row r="108" ht="16.5" customHeight="1">
      <c r="D108" s="2" t="inlineStr">
        <is>
          <t>群聯(8299)</t>
        </is>
      </c>
      <c r="E108" s="3" t="n">
        <v>110</v>
      </c>
      <c r="F108" s="3" t="n">
        <v>154</v>
      </c>
      <c r="G108" s="3" t="n">
        <v>29840</v>
      </c>
      <c r="H108" s="3" t="n">
        <v>41952</v>
      </c>
      <c r="I108" s="3" t="n">
        <v>-12112</v>
      </c>
      <c r="J108" s="4" t="n">
        <v>2712.7</v>
      </c>
      <c r="K108" s="4" t="n">
        <v>2724.16</v>
      </c>
      <c r="L108" s="6">
        <f>F108*(K108-J108)</f>
        <v/>
      </c>
    </row>
    <row r="109" ht="16.5" customHeight="1">
      <c r="D109" s="2" t="inlineStr">
        <is>
          <t>臻鼎-KY(4958)</t>
        </is>
      </c>
      <c r="E109" s="3" t="n">
        <v>611</v>
      </c>
      <c r="F109" s="3" t="n">
        <v>59</v>
      </c>
      <c r="G109" s="3" t="n">
        <v>25239</v>
      </c>
      <c r="H109" s="3" t="n">
        <v>2436</v>
      </c>
      <c r="I109" s="3" t="n">
        <v>22803</v>
      </c>
      <c r="J109" s="4" t="n">
        <v>413.08</v>
      </c>
      <c r="K109" s="4" t="n">
        <v>412.85</v>
      </c>
      <c r="L109" s="5">
        <f>F109*(K109-J109)</f>
        <v/>
      </c>
    </row>
    <row r="110" ht="16.5" customHeight="1">
      <c r="D110" s="2" t="inlineStr">
        <is>
          <t>聯發科(2454)</t>
        </is>
      </c>
      <c r="E110" s="3" t="n">
        <v>51</v>
      </c>
      <c r="F110" s="3" t="n">
        <v>176</v>
      </c>
      <c r="G110" s="3" t="n">
        <v>19617</v>
      </c>
      <c r="H110" s="3" t="n">
        <v>67752</v>
      </c>
      <c r="I110" s="3" t="n">
        <v>-48135</v>
      </c>
      <c r="J110" s="4" t="n">
        <v>3846.41</v>
      </c>
      <c r="K110" s="4" t="n">
        <v>3849.52</v>
      </c>
      <c r="L110" s="6">
        <f>F110*(K110-J110)</f>
        <v/>
      </c>
    </row>
    <row r="111" ht="16.5" customHeight="1">
      <c r="B111" s="1" t="inlineStr">
        <is>
          <t>常下分點</t>
        </is>
      </c>
      <c r="C111" s="1" t="inlineStr">
        <is>
          <t>分點代號</t>
        </is>
      </c>
      <c r="D111" s="1" t="inlineStr">
        <is>
          <t>標的</t>
        </is>
      </c>
      <c r="E111" s="1" t="inlineStr">
        <is>
          <t>買進(張)</t>
        </is>
      </c>
      <c r="F111" s="1" t="inlineStr">
        <is>
          <t>賣出(張)</t>
        </is>
      </c>
      <c r="G111" s="1" t="inlineStr">
        <is>
          <t>買進(萬元)</t>
        </is>
      </c>
      <c r="H111" s="1" t="inlineStr">
        <is>
          <t>賣出(萬元)</t>
        </is>
      </c>
      <c r="I111" s="1" t="inlineStr">
        <is>
          <t>淨買差(萬元)</t>
        </is>
      </c>
      <c r="J111" s="1" t="inlineStr">
        <is>
          <t>買均</t>
        </is>
      </c>
      <c r="K111" s="1" t="inlineStr">
        <is>
          <t>賣均</t>
        </is>
      </c>
      <c r="L111" s="1" t="inlineStr">
        <is>
          <t>損益(萬)</t>
        </is>
      </c>
    </row>
    <row r="112" ht="16.5" customHeight="1">
      <c r="B112" s="1" t="inlineStr">
        <is>
          <t>中國信託-松江</t>
        </is>
      </c>
      <c r="C112" s="1" t="inlineStr">
        <is>
          <t>6167</t>
        </is>
      </c>
      <c r="D112" s="2" t="inlineStr">
        <is>
          <t>聯電(2303)</t>
        </is>
      </c>
      <c r="E112" s="3" t="n">
        <v>2428</v>
      </c>
      <c r="F112" s="3" t="n">
        <v>81</v>
      </c>
      <c r="G112" s="3" t="n">
        <v>25217</v>
      </c>
      <c r="H112" s="3" t="n">
        <v>816</v>
      </c>
      <c r="I112" s="3" t="n">
        <v>24401</v>
      </c>
      <c r="J112" s="4" t="n">
        <v>103.86</v>
      </c>
      <c r="K112" s="4" t="n">
        <v>100.74</v>
      </c>
      <c r="L112" s="5">
        <f>F112*(K112-J112)</f>
        <v/>
      </c>
    </row>
    <row r="113" ht="16.5" customHeight="1">
      <c r="D113" s="2" t="inlineStr">
        <is>
          <t>群創(3481)</t>
        </is>
      </c>
      <c r="E113" s="3" t="n">
        <v>2599</v>
      </c>
      <c r="F113" s="3" t="n">
        <v>256</v>
      </c>
      <c r="G113" s="3" t="n">
        <v>9190</v>
      </c>
      <c r="H113" s="3" t="n">
        <v>893</v>
      </c>
      <c r="I113" s="3" t="n">
        <v>8297</v>
      </c>
      <c r="J113" s="4" t="n">
        <v>35.36</v>
      </c>
      <c r="K113" s="4" t="n">
        <v>34.88</v>
      </c>
      <c r="L113" s="5">
        <f>F113*(K113-J113)</f>
        <v/>
      </c>
    </row>
    <row r="114" ht="16.5" customHeight="1">
      <c r="D114" s="2" t="inlineStr">
        <is>
          <t>華星光(4979)</t>
        </is>
      </c>
      <c r="E114" s="3" t="n">
        <v>112</v>
      </c>
      <c r="F114" s="3" t="n">
        <v>8</v>
      </c>
      <c r="G114" s="3" t="n">
        <v>7953</v>
      </c>
      <c r="H114" s="3" t="n">
        <v>558</v>
      </c>
      <c r="I114" s="3" t="n">
        <v>7395</v>
      </c>
      <c r="J114" s="4" t="n">
        <v>710.12</v>
      </c>
      <c r="K114" s="4" t="n">
        <v>697.25</v>
      </c>
      <c r="L114" s="5">
        <f>F114*(K114-J114)</f>
        <v/>
      </c>
    </row>
    <row r="115" ht="16.5" customHeight="1">
      <c r="D115" s="2" t="inlineStr">
        <is>
          <t>頎邦(6147)</t>
        </is>
      </c>
      <c r="E115" s="3" t="n">
        <v>322</v>
      </c>
      <c r="F115" s="3" t="n">
        <v>334</v>
      </c>
      <c r="G115" s="3" t="n">
        <v>6318</v>
      </c>
      <c r="H115" s="3" t="n">
        <v>6554</v>
      </c>
      <c r="I115" s="3" t="n">
        <v>-236</v>
      </c>
      <c r="J115" s="4" t="n">
        <v>196.22</v>
      </c>
      <c r="K115" s="4" t="n">
        <v>196.23</v>
      </c>
      <c r="L115" s="6">
        <f>F115*(K115-J115)</f>
        <v/>
      </c>
    </row>
    <row r="116" ht="16.5" customHeight="1">
      <c r="D116" s="2" t="inlineStr">
        <is>
          <t>主動統一升級50(00403A)</t>
        </is>
      </c>
      <c r="E116" s="3" t="n">
        <v>4424</v>
      </c>
      <c r="F116" s="3" t="n">
        <v>713</v>
      </c>
      <c r="G116" s="3" t="n">
        <v>4762</v>
      </c>
      <c r="H116" s="3" t="n">
        <v>765</v>
      </c>
      <c r="I116" s="3" t="n">
        <v>3997</v>
      </c>
      <c r="J116" s="4" t="n">
        <v>10.76</v>
      </c>
      <c r="K116" s="4" t="n">
        <v>10.73</v>
      </c>
      <c r="L116" s="5">
        <f>F116*(K116-J116)</f>
        <v/>
      </c>
    </row>
    <row r="117" ht="16.5" customHeight="1">
      <c r="D117" s="2" t="inlineStr">
        <is>
          <t>南亞科(2408)</t>
        </is>
      </c>
      <c r="E117" s="3" t="n">
        <v>105</v>
      </c>
      <c r="F117" s="3" t="n">
        <v>417</v>
      </c>
      <c r="G117" s="3" t="n">
        <v>3301</v>
      </c>
      <c r="H117" s="3" t="n">
        <v>13085</v>
      </c>
      <c r="I117" s="3" t="n">
        <v>-9784</v>
      </c>
      <c r="J117" s="4" t="n">
        <v>314.4</v>
      </c>
      <c r="K117" s="4" t="n">
        <v>313.79</v>
      </c>
      <c r="L117" s="5">
        <f>F117*(K117-J117)</f>
        <v/>
      </c>
    </row>
    <row r="118" ht="16.5" customHeight="1">
      <c r="D118" s="2" t="inlineStr">
        <is>
          <t>台積電(2330)</t>
        </is>
      </c>
      <c r="E118" s="3" t="n">
        <v>11</v>
      </c>
      <c r="F118" s="3" t="n">
        <v>4</v>
      </c>
      <c r="G118" s="3" t="n">
        <v>2504</v>
      </c>
      <c r="H118" s="3" t="n">
        <v>1004</v>
      </c>
      <c r="I118" s="3" t="n">
        <v>1500</v>
      </c>
      <c r="J118" s="4" t="n">
        <v>2275.91</v>
      </c>
      <c r="K118" s="4" t="n">
        <v>2511</v>
      </c>
      <c r="L118" s="6">
        <f>F118*(K118-J118)</f>
        <v/>
      </c>
    </row>
    <row r="119" ht="16.5" customHeight="1">
      <c r="D119" s="2" t="inlineStr">
        <is>
          <t>台達電(2308)</t>
        </is>
      </c>
      <c r="E119" s="3" t="n">
        <v>8</v>
      </c>
      <c r="F119" s="3" t="n">
        <v>1</v>
      </c>
      <c r="G119" s="3" t="n">
        <v>1711</v>
      </c>
      <c r="H119" s="3" t="n">
        <v>304</v>
      </c>
      <c r="I119" s="3" t="n">
        <v>1407</v>
      </c>
      <c r="J119" s="4" t="n">
        <v>2139</v>
      </c>
      <c r="K119" s="4" t="n">
        <v>3035</v>
      </c>
      <c r="L119" s="6">
        <f>F119*(K119-J119)</f>
        <v/>
      </c>
    </row>
    <row r="120" ht="16.5" customHeight="1">
      <c r="D120" s="2" t="inlineStr">
        <is>
          <t>聯發科(2454)</t>
        </is>
      </c>
      <c r="E120" s="3" t="n">
        <v>4</v>
      </c>
      <c r="F120" s="3" t="n">
        <v>2</v>
      </c>
      <c r="G120" s="3" t="n">
        <v>1502</v>
      </c>
      <c r="H120" s="3" t="n">
        <v>661</v>
      </c>
      <c r="I120" s="3" t="n">
        <v>841</v>
      </c>
      <c r="J120" s="4" t="n">
        <v>3755.75</v>
      </c>
      <c r="K120" s="4" t="n">
        <v>3306</v>
      </c>
      <c r="L120" s="5">
        <f>F120*(K120-J120)</f>
        <v/>
      </c>
    </row>
    <row r="121" ht="16.5" customHeight="1">
      <c r="D121" s="2" t="inlineStr">
        <is>
          <t>穩懋(3105)</t>
        </is>
      </c>
      <c r="E121" s="3" t="n">
        <v>29</v>
      </c>
      <c r="F121" s="3" t="n">
        <v>22</v>
      </c>
      <c r="G121" s="3" t="n">
        <v>1491</v>
      </c>
      <c r="H121" s="3" t="n">
        <v>1132</v>
      </c>
      <c r="I121" s="3" t="n">
        <v>359</v>
      </c>
      <c r="J121" s="4" t="n">
        <v>514.28</v>
      </c>
      <c r="K121" s="4" t="n">
        <v>514.6799999999999</v>
      </c>
      <c r="L121" s="6">
        <f>F121*(K121-J121)</f>
        <v/>
      </c>
    </row>
    <row r="122" ht="16.5" customHeight="1">
      <c r="B122" s="1" t="inlineStr">
        <is>
          <t>常下分點</t>
        </is>
      </c>
      <c r="C122" s="1" t="inlineStr">
        <is>
          <t>分點代號</t>
        </is>
      </c>
      <c r="D122" s="1" t="inlineStr">
        <is>
          <t>標的</t>
        </is>
      </c>
      <c r="E122" s="1" t="inlineStr">
        <is>
          <t>買進(張)</t>
        </is>
      </c>
      <c r="F122" s="1" t="inlineStr">
        <is>
          <t>賣出(張)</t>
        </is>
      </c>
      <c r="G122" s="1" t="inlineStr">
        <is>
          <t>買進(萬元)</t>
        </is>
      </c>
      <c r="H122" s="1" t="inlineStr">
        <is>
          <t>賣出(萬元)</t>
        </is>
      </c>
      <c r="I122" s="1" t="inlineStr">
        <is>
          <t>淨買差(萬元)</t>
        </is>
      </c>
      <c r="J122" s="1" t="inlineStr">
        <is>
          <t>買均</t>
        </is>
      </c>
      <c r="K122" s="1" t="inlineStr">
        <is>
          <t>賣均</t>
        </is>
      </c>
      <c r="L122" s="1" t="inlineStr">
        <is>
          <t>損益(萬)</t>
        </is>
      </c>
    </row>
    <row r="123" ht="16.5" customHeight="1">
      <c r="B123" s="1" t="inlineStr">
        <is>
          <t>富邦-木柵</t>
        </is>
      </c>
      <c r="C123" s="1" t="inlineStr">
        <is>
          <t>961M</t>
        </is>
      </c>
      <c r="D123" s="2" t="inlineStr">
        <is>
          <t>聯發科(2454)</t>
        </is>
      </c>
      <c r="E123" s="3" t="n">
        <v>23</v>
      </c>
      <c r="F123" s="3" t="n">
        <v>11</v>
      </c>
      <c r="G123" s="3" t="n">
        <v>8428</v>
      </c>
      <c r="H123" s="3" t="n">
        <v>3997</v>
      </c>
      <c r="I123" s="3" t="n">
        <v>4431</v>
      </c>
      <c r="J123" s="4" t="n">
        <v>3664.48</v>
      </c>
      <c r="K123" s="4" t="n">
        <v>3633.82</v>
      </c>
      <c r="L123" s="5">
        <f>F123*(K123-J123)</f>
        <v/>
      </c>
    </row>
    <row r="124" ht="16.5" customHeight="1">
      <c r="D124" s="2" t="inlineStr">
        <is>
          <t>群聯(8299)</t>
        </is>
      </c>
      <c r="E124" s="3" t="n">
        <v>22</v>
      </c>
      <c r="F124" s="3" t="n">
        <v>14</v>
      </c>
      <c r="G124" s="3" t="n">
        <v>5874</v>
      </c>
      <c r="H124" s="3" t="n">
        <v>3764</v>
      </c>
      <c r="I124" s="3" t="n">
        <v>2110</v>
      </c>
      <c r="J124" s="4" t="n">
        <v>2670.05</v>
      </c>
      <c r="K124" s="4" t="n">
        <v>2688.93</v>
      </c>
      <c r="L124" s="6">
        <f>F124*(K124-J124)</f>
        <v/>
      </c>
    </row>
    <row r="125" ht="16.5" customHeight="1">
      <c r="D125" s="2" t="inlineStr">
        <is>
          <t>主動統一升級50(00403A)</t>
        </is>
      </c>
      <c r="E125" s="3" t="n">
        <v>4747</v>
      </c>
      <c r="F125" s="3" t="n">
        <v>2322</v>
      </c>
      <c r="G125" s="3" t="n">
        <v>5103</v>
      </c>
      <c r="H125" s="3" t="n">
        <v>2498</v>
      </c>
      <c r="I125" s="3" t="n">
        <v>2605</v>
      </c>
      <c r="J125" s="4" t="n">
        <v>10.75</v>
      </c>
      <c r="K125" s="4" t="n">
        <v>10.76</v>
      </c>
      <c r="L125" s="6">
        <f>F125*(K125-J125)</f>
        <v/>
      </c>
    </row>
    <row r="126" ht="16.5" customHeight="1">
      <c r="D126" s="2" t="inlineStr">
        <is>
          <t>南亞科(2408)</t>
        </is>
      </c>
      <c r="E126" s="3" t="n">
        <v>129</v>
      </c>
      <c r="F126" s="3" t="n">
        <v>151</v>
      </c>
      <c r="G126" s="3" t="n">
        <v>4128</v>
      </c>
      <c r="H126" s="3" t="n">
        <v>4846</v>
      </c>
      <c r="I126" s="3" t="n">
        <v>-718</v>
      </c>
      <c r="J126" s="4" t="n">
        <v>320</v>
      </c>
      <c r="K126" s="4" t="n">
        <v>320.94</v>
      </c>
      <c r="L126" s="6">
        <f>F126*(K126-J126)</f>
        <v/>
      </c>
    </row>
    <row r="127" ht="16.5" customHeight="1">
      <c r="D127" s="2" t="inlineStr">
        <is>
          <t>臻鼎-KY(4958)</t>
        </is>
      </c>
      <c r="E127" s="3" t="n">
        <v>96</v>
      </c>
      <c r="F127" s="3" t="n">
        <v>66</v>
      </c>
      <c r="G127" s="3" t="n">
        <v>3892</v>
      </c>
      <c r="H127" s="3" t="n">
        <v>2680</v>
      </c>
      <c r="I127" s="3" t="n">
        <v>1212</v>
      </c>
      <c r="J127" s="4" t="n">
        <v>405.38</v>
      </c>
      <c r="K127" s="4" t="n">
        <v>406.09</v>
      </c>
      <c r="L127" s="6">
        <f>F127*(K127-J127)</f>
        <v/>
      </c>
    </row>
    <row r="128" ht="16.5" customHeight="1">
      <c r="D128" s="2" t="inlineStr">
        <is>
          <t>智邦(2345)</t>
        </is>
      </c>
      <c r="E128" s="3" t="n">
        <v>15</v>
      </c>
      <c r="F128" s="3" t="n">
        <v>2</v>
      </c>
      <c r="G128" s="3" t="n">
        <v>3707</v>
      </c>
      <c r="H128" s="3" t="n">
        <v>601</v>
      </c>
      <c r="I128" s="3" t="n">
        <v>3106</v>
      </c>
      <c r="J128" s="4" t="n">
        <v>2471.47</v>
      </c>
      <c r="K128" s="4" t="n">
        <v>3005.5</v>
      </c>
      <c r="L128" s="6">
        <f>F128*(K128-J128)</f>
        <v/>
      </c>
    </row>
    <row r="129" ht="16.5" customHeight="1">
      <c r="D129" s="2" t="inlineStr">
        <is>
          <t>景碩(3189)</t>
        </is>
      </c>
      <c r="E129" s="3" t="n">
        <v>74</v>
      </c>
      <c r="F129" s="3" t="n">
        <v>7</v>
      </c>
      <c r="G129" s="3" t="n">
        <v>3699</v>
      </c>
      <c r="H129" s="3" t="n">
        <v>361</v>
      </c>
      <c r="I129" s="3" t="n">
        <v>3338</v>
      </c>
      <c r="J129" s="4" t="n">
        <v>499.85</v>
      </c>
      <c r="K129" s="4" t="n">
        <v>515.71</v>
      </c>
      <c r="L129" s="6">
        <f>F129*(K129-J129)</f>
        <v/>
      </c>
    </row>
    <row r="130" ht="16.5" customHeight="1">
      <c r="D130" s="2" t="inlineStr">
        <is>
          <t>台積電(2330)</t>
        </is>
      </c>
      <c r="E130" s="3" t="n">
        <v>16</v>
      </c>
      <c r="F130" s="3" t="n">
        <v>8</v>
      </c>
      <c r="G130" s="3" t="n">
        <v>3647</v>
      </c>
      <c r="H130" s="3" t="n">
        <v>1878</v>
      </c>
      <c r="I130" s="3" t="n">
        <v>1769</v>
      </c>
      <c r="J130" s="4" t="n">
        <v>2279.5</v>
      </c>
      <c r="K130" s="4" t="n">
        <v>2347.62</v>
      </c>
      <c r="L130" s="6">
        <f>F130*(K130-J130)</f>
        <v/>
      </c>
    </row>
    <row r="131" ht="16.5" customHeight="1">
      <c r="D131" s="2" t="inlineStr">
        <is>
          <t>創意(3443)</t>
        </is>
      </c>
      <c r="E131" s="3" t="n">
        <v>6</v>
      </c>
      <c r="F131" s="3" t="n">
        <v>1</v>
      </c>
      <c r="G131" s="3" t="n">
        <v>3412</v>
      </c>
      <c r="H131" s="3" t="n">
        <v>10</v>
      </c>
      <c r="I131" s="3" t="n">
        <v>3402</v>
      </c>
      <c r="J131" s="4" t="n">
        <v>5686.83</v>
      </c>
      <c r="K131" s="4" t="n">
        <v>95</v>
      </c>
      <c r="L131" s="5">
        <f>F131*(K131-J131)</f>
        <v/>
      </c>
    </row>
    <row r="132" ht="16.5" customHeight="1">
      <c r="D132" s="2" t="inlineStr">
        <is>
          <t>台達電(2308)</t>
        </is>
      </c>
      <c r="E132" s="3" t="n">
        <v>14</v>
      </c>
      <c r="F132" s="3" t="n">
        <v>6</v>
      </c>
      <c r="G132" s="3" t="n">
        <v>2984</v>
      </c>
      <c r="H132" s="3" t="n">
        <v>1398</v>
      </c>
      <c r="I132" s="3" t="n">
        <v>1586</v>
      </c>
      <c r="J132" s="4" t="n">
        <v>2131.43</v>
      </c>
      <c r="K132" s="4" t="n">
        <v>2330.17</v>
      </c>
      <c r="L132" s="6">
        <f>F132*(K132-J132)</f>
        <v/>
      </c>
    </row>
    <row r="133" ht="16.5" customHeight="1">
      <c r="B133" s="1" t="inlineStr">
        <is>
          <t>常下分點</t>
        </is>
      </c>
      <c r="C133" s="1" t="inlineStr">
        <is>
          <t>分點代號</t>
        </is>
      </c>
      <c r="D133" s="1" t="inlineStr">
        <is>
          <t>標的</t>
        </is>
      </c>
      <c r="E133" s="1" t="inlineStr">
        <is>
          <t>買進(張)</t>
        </is>
      </c>
      <c r="F133" s="1" t="inlineStr">
        <is>
          <t>賣出(張)</t>
        </is>
      </c>
      <c r="G133" s="1" t="inlineStr">
        <is>
          <t>買進(萬元)</t>
        </is>
      </c>
      <c r="H133" s="1" t="inlineStr">
        <is>
          <t>賣出(萬元)</t>
        </is>
      </c>
      <c r="I133" s="1" t="inlineStr">
        <is>
          <t>淨買差(萬元)</t>
        </is>
      </c>
      <c r="J133" s="1" t="inlineStr">
        <is>
          <t>買均</t>
        </is>
      </c>
      <c r="K133" s="1" t="inlineStr">
        <is>
          <t>賣均</t>
        </is>
      </c>
      <c r="L133" s="1" t="inlineStr">
        <is>
          <t>損益(萬)</t>
        </is>
      </c>
    </row>
    <row r="134" ht="16.5" customHeight="1">
      <c r="B134" s="1" t="inlineStr">
        <is>
          <t>群益金鼎證券</t>
        </is>
      </c>
      <c r="C134" s="1" t="inlineStr">
        <is>
          <t>9100</t>
        </is>
      </c>
      <c r="D134" s="2" t="inlineStr">
        <is>
          <t>台積電(2330)</t>
        </is>
      </c>
      <c r="E134" s="3" t="n">
        <v>2049</v>
      </c>
      <c r="F134" s="3" t="n">
        <v>699</v>
      </c>
      <c r="G134" s="3" t="n">
        <v>462367</v>
      </c>
      <c r="H134" s="3" t="n">
        <v>157137</v>
      </c>
      <c r="I134" s="3" t="n">
        <v>305230</v>
      </c>
      <c r="J134" s="4" t="n">
        <v>2256.55</v>
      </c>
      <c r="K134" s="4" t="n">
        <v>2248.02</v>
      </c>
      <c r="L134" s="5">
        <f>F134*(K134-J134)</f>
        <v/>
      </c>
    </row>
    <row r="135" ht="16.5" customHeight="1">
      <c r="D135" s="2" t="inlineStr">
        <is>
          <t>群益台灣精選高息(00919)</t>
        </is>
      </c>
      <c r="E135" s="3" t="n">
        <v>39423</v>
      </c>
      <c r="F135" s="3" t="n">
        <v>493</v>
      </c>
      <c r="G135" s="3" t="n">
        <v>101224</v>
      </c>
      <c r="H135" s="3" t="n">
        <v>1268</v>
      </c>
      <c r="I135" s="3" t="n">
        <v>99956</v>
      </c>
      <c r="J135" s="4" t="n">
        <v>25.68</v>
      </c>
      <c r="K135" s="4" t="n">
        <v>25.71</v>
      </c>
      <c r="L135" s="6">
        <f>F135*(K135-J135)</f>
        <v/>
      </c>
    </row>
    <row r="136" ht="16.5" customHeight="1">
      <c r="D136" s="2" t="inlineStr">
        <is>
          <t>群聯(8299)</t>
        </is>
      </c>
      <c r="E136" s="3" t="n">
        <v>320</v>
      </c>
      <c r="F136" s="3" t="n">
        <v>64</v>
      </c>
      <c r="G136" s="3" t="n">
        <v>87224</v>
      </c>
      <c r="H136" s="3" t="n">
        <v>17569</v>
      </c>
      <c r="I136" s="3" t="n">
        <v>69655</v>
      </c>
      <c r="J136" s="4" t="n">
        <v>2725.76</v>
      </c>
      <c r="K136" s="4" t="n">
        <v>2745.11</v>
      </c>
      <c r="L136" s="6">
        <f>F136*(K136-J136)</f>
        <v/>
      </c>
    </row>
    <row r="137" ht="16.5" customHeight="1">
      <c r="D137" s="2" t="inlineStr">
        <is>
          <t>奇鋐(3017)</t>
        </is>
      </c>
      <c r="E137" s="3" t="n">
        <v>190</v>
      </c>
      <c r="F137" s="3" t="n">
        <v>79</v>
      </c>
      <c r="G137" s="3" t="n">
        <v>47805</v>
      </c>
      <c r="H137" s="3" t="n">
        <v>19810</v>
      </c>
      <c r="I137" s="3" t="n">
        <v>27995</v>
      </c>
      <c r="J137" s="4" t="n">
        <v>2516.03</v>
      </c>
      <c r="K137" s="4" t="n">
        <v>2507.57</v>
      </c>
      <c r="L137" s="5">
        <f>F137*(K137-J137)</f>
        <v/>
      </c>
    </row>
    <row r="138" ht="16.5" customHeight="1">
      <c r="D138" s="2" t="inlineStr">
        <is>
          <t>華通(2313)</t>
        </is>
      </c>
      <c r="E138" s="3" t="n">
        <v>1824</v>
      </c>
      <c r="F138" s="3" t="n">
        <v>136</v>
      </c>
      <c r="G138" s="3" t="n">
        <v>47309</v>
      </c>
      <c r="H138" s="3" t="n">
        <v>3503</v>
      </c>
      <c r="I138" s="3" t="n">
        <v>43806</v>
      </c>
      <c r="J138" s="4" t="n">
        <v>259.37</v>
      </c>
      <c r="K138" s="4" t="n">
        <v>257.54</v>
      </c>
      <c r="L138" s="5">
        <f>F138*(K138-J138)</f>
        <v/>
      </c>
    </row>
    <row r="139" ht="16.5" customHeight="1">
      <c r="D139" s="2" t="inlineStr">
        <is>
          <t>復華台灣科技優息(00929)</t>
        </is>
      </c>
      <c r="E139" s="3" t="n">
        <v>14091</v>
      </c>
      <c r="F139" s="3" t="n">
        <v>214</v>
      </c>
      <c r="G139" s="3" t="n">
        <v>36671</v>
      </c>
      <c r="H139" s="3" t="n">
        <v>550</v>
      </c>
      <c r="I139" s="3" t="n">
        <v>36121</v>
      </c>
      <c r="J139" s="4" t="n">
        <v>26.02</v>
      </c>
      <c r="K139" s="4" t="n">
        <v>25.68</v>
      </c>
      <c r="L139" s="5">
        <f>F139*(K139-J139)</f>
        <v/>
      </c>
    </row>
    <row r="140" ht="16.5" customHeight="1">
      <c r="D140" s="2" t="inlineStr">
        <is>
          <t>國泰永續高股息(00878)</t>
        </is>
      </c>
      <c r="E140" s="3" t="n">
        <v>11574</v>
      </c>
      <c r="F140" s="3" t="n">
        <v>1009</v>
      </c>
      <c r="G140" s="3" t="n">
        <v>32735</v>
      </c>
      <c r="H140" s="3" t="n">
        <v>2834</v>
      </c>
      <c r="I140" s="3" t="n">
        <v>29901</v>
      </c>
      <c r="J140" s="4" t="n">
        <v>28.28</v>
      </c>
      <c r="K140" s="4" t="n">
        <v>28.09</v>
      </c>
      <c r="L140" s="5">
        <f>F140*(K140-J140)</f>
        <v/>
      </c>
    </row>
    <row r="141" ht="16.5" customHeight="1">
      <c r="D141" s="2" t="inlineStr">
        <is>
          <t>國巨*(2327)</t>
        </is>
      </c>
      <c r="E141" s="3" t="n">
        <v>755</v>
      </c>
      <c r="F141" s="3" t="n">
        <v>386</v>
      </c>
      <c r="G141" s="3" t="n">
        <v>31688</v>
      </c>
      <c r="H141" s="3" t="n">
        <v>16179</v>
      </c>
      <c r="I141" s="3" t="n">
        <v>15509</v>
      </c>
      <c r="J141" s="4" t="n">
        <v>419.7</v>
      </c>
      <c r="K141" s="4" t="n">
        <v>419.14</v>
      </c>
      <c r="L141" s="5">
        <f>F141*(K141-J141)</f>
        <v/>
      </c>
    </row>
    <row r="142" ht="16.5" customHeight="1">
      <c r="D142" s="2" t="inlineStr">
        <is>
          <t>譜瑞-KY(4966)</t>
        </is>
      </c>
      <c r="E142" s="3" t="n">
        <v>348</v>
      </c>
      <c r="F142" s="3" t="n">
        <v>67</v>
      </c>
      <c r="G142" s="3" t="n">
        <v>26479</v>
      </c>
      <c r="H142" s="3" t="n">
        <v>5088</v>
      </c>
      <c r="I142" s="3" t="n">
        <v>21391</v>
      </c>
      <c r="J142" s="4" t="n">
        <v>760.89</v>
      </c>
      <c r="K142" s="4" t="n">
        <v>759.36</v>
      </c>
      <c r="L142" s="5">
        <f>F142*(K142-J142)</f>
        <v/>
      </c>
    </row>
    <row r="143" ht="16.5" customHeight="1">
      <c r="D143" s="2" t="inlineStr">
        <is>
          <t>大華優利高填息30(00918)</t>
        </is>
      </c>
      <c r="E143" s="3" t="n">
        <v>9988</v>
      </c>
      <c r="F143" s="3" t="n">
        <v>7</v>
      </c>
      <c r="G143" s="3" t="n">
        <v>25505</v>
      </c>
      <c r="H143" s="3" t="n">
        <v>18</v>
      </c>
      <c r="I143" s="3" t="n">
        <v>25487</v>
      </c>
      <c r="J143" s="4" t="n">
        <v>25.54</v>
      </c>
      <c r="K143" s="4" t="n">
        <v>25.43</v>
      </c>
      <c r="L143" s="5">
        <f>F143*(K143-J143)</f>
        <v/>
      </c>
    </row>
    <row r="144" ht="16.5" customHeight="1">
      <c r="A144" s="1" t="inlineStr">
        <is>
          <t>高手</t>
        </is>
      </c>
      <c r="B144" s="1" t="inlineStr">
        <is>
          <t>常下分點</t>
        </is>
      </c>
      <c r="C144" s="1" t="inlineStr">
        <is>
          <t>分點代號</t>
        </is>
      </c>
      <c r="D144" s="1" t="inlineStr">
        <is>
          <t>標的</t>
        </is>
      </c>
      <c r="E144" s="1" t="inlineStr">
        <is>
          <t>買進(張)</t>
        </is>
      </c>
      <c r="F144" s="1" t="inlineStr">
        <is>
          <t>賣出(張)</t>
        </is>
      </c>
      <c r="G144" s="1" t="inlineStr">
        <is>
          <t>買進(萬元)</t>
        </is>
      </c>
      <c r="H144" s="1" t="inlineStr">
        <is>
          <t>賣出(萬元)</t>
        </is>
      </c>
      <c r="I144" s="1" t="inlineStr">
        <is>
          <t>淨買差(萬元)</t>
        </is>
      </c>
      <c r="J144" s="1" t="inlineStr">
        <is>
          <t>買均</t>
        </is>
      </c>
      <c r="K144" s="1" t="inlineStr">
        <is>
          <t>賣均</t>
        </is>
      </c>
      <c r="L144" s="1" t="inlineStr">
        <is>
          <t>損益(萬)</t>
        </is>
      </c>
    </row>
    <row r="145" ht="16.5" customHeight="1">
      <c r="A145" s="1" t="inlineStr">
        <is>
          <t>陳族元</t>
        </is>
      </c>
      <c r="B145" s="1" t="inlineStr">
        <is>
          <t>國泰證券</t>
        </is>
      </c>
      <c r="C145" s="1" t="inlineStr">
        <is>
          <t>8880</t>
        </is>
      </c>
      <c r="D145" s="2" t="inlineStr">
        <is>
          <t>緯穎(6669)</t>
        </is>
      </c>
      <c r="E145" s="3" t="n">
        <v>346</v>
      </c>
      <c r="F145" s="3" t="n">
        <v>11</v>
      </c>
      <c r="G145" s="3" t="n">
        <v>197019</v>
      </c>
      <c r="H145" s="3" t="n">
        <v>5996</v>
      </c>
      <c r="I145" s="3" t="n">
        <v>191023</v>
      </c>
      <c r="J145" s="4" t="n">
        <v>5694.19</v>
      </c>
      <c r="K145" s="4" t="n">
        <v>5450.64</v>
      </c>
      <c r="L145" s="5">
        <f>F145*(K145-J145)</f>
        <v/>
      </c>
    </row>
    <row r="146" ht="16.5" customHeight="1">
      <c r="D146" s="2" t="inlineStr">
        <is>
          <t>台達電(2308)</t>
        </is>
      </c>
      <c r="E146" s="3" t="n">
        <v>555</v>
      </c>
      <c r="F146" s="3" t="n">
        <v>5</v>
      </c>
      <c r="G146" s="3" t="n">
        <v>122734</v>
      </c>
      <c r="H146" s="3" t="n">
        <v>1150</v>
      </c>
      <c r="I146" s="3" t="n">
        <v>121584</v>
      </c>
      <c r="J146" s="4" t="n">
        <v>2211.43</v>
      </c>
      <c r="K146" s="4" t="n">
        <v>2299</v>
      </c>
      <c r="L146" s="6">
        <f>F146*(K146-J146)</f>
        <v/>
      </c>
    </row>
    <row r="147" ht="16.5" customHeight="1">
      <c r="D147" s="2" t="inlineStr">
        <is>
          <t>南亞科(2408)</t>
        </is>
      </c>
      <c r="E147" s="3" t="n">
        <v>3355</v>
      </c>
      <c r="F147" s="3" t="n">
        <v>350</v>
      </c>
      <c r="G147" s="3" t="n">
        <v>105639</v>
      </c>
      <c r="H147" s="3" t="n">
        <v>11131</v>
      </c>
      <c r="I147" s="3" t="n">
        <v>94508</v>
      </c>
      <c r="J147" s="4" t="n">
        <v>314.87</v>
      </c>
      <c r="K147" s="4" t="n">
        <v>318.04</v>
      </c>
      <c r="L147" s="6">
        <f>F147*(K147-J147)</f>
        <v/>
      </c>
    </row>
    <row r="148" ht="16.5" customHeight="1">
      <c r="D148" s="2" t="inlineStr">
        <is>
          <t>譜瑞-KY(4966)</t>
        </is>
      </c>
      <c r="E148" s="3" t="n">
        <v>934</v>
      </c>
      <c r="F148" s="3" t="n">
        <v>46</v>
      </c>
      <c r="G148" s="3" t="n">
        <v>71088</v>
      </c>
      <c r="H148" s="3" t="n">
        <v>3456</v>
      </c>
      <c r="I148" s="3" t="n">
        <v>67632</v>
      </c>
      <c r="J148" s="4" t="n">
        <v>761.12</v>
      </c>
      <c r="K148" s="4" t="n">
        <v>751.35</v>
      </c>
      <c r="L148" s="5">
        <f>F148*(K148-J148)</f>
        <v/>
      </c>
    </row>
    <row r="149" ht="16.5" customHeight="1">
      <c r="D149" s="2" t="inlineStr">
        <is>
          <t>文曄(3036)</t>
        </is>
      </c>
      <c r="E149" s="3" t="n">
        <v>1534</v>
      </c>
      <c r="F149" s="3" t="n">
        <v>544</v>
      </c>
      <c r="G149" s="3" t="n">
        <v>42396</v>
      </c>
      <c r="H149" s="3" t="n">
        <v>14879</v>
      </c>
      <c r="I149" s="3" t="n">
        <v>27517</v>
      </c>
      <c r="J149" s="4" t="n">
        <v>276.38</v>
      </c>
      <c r="K149" s="4" t="n">
        <v>273.51</v>
      </c>
      <c r="L149" s="5">
        <f>F149*(K149-J149)</f>
        <v/>
      </c>
    </row>
    <row r="150" ht="16.5" customHeight="1">
      <c r="D150" s="2" t="inlineStr">
        <is>
          <t>國巨*(2327)</t>
        </is>
      </c>
      <c r="E150" s="3" t="n">
        <v>901</v>
      </c>
      <c r="F150" s="3" t="n">
        <v>337</v>
      </c>
      <c r="G150" s="3" t="n">
        <v>38082</v>
      </c>
      <c r="H150" s="3" t="n">
        <v>14022</v>
      </c>
      <c r="I150" s="3" t="n">
        <v>24060</v>
      </c>
      <c r="J150" s="4" t="n">
        <v>422.67</v>
      </c>
      <c r="K150" s="4" t="n">
        <v>416.09</v>
      </c>
      <c r="L150" s="5">
        <f>F150*(K150-J150)</f>
        <v/>
      </c>
    </row>
    <row r="151" ht="16.5" customHeight="1">
      <c r="D151" s="2" t="inlineStr">
        <is>
          <t>元太(8069)</t>
        </is>
      </c>
      <c r="E151" s="3" t="n">
        <v>1928</v>
      </c>
      <c r="F151" s="3" t="n">
        <v>167</v>
      </c>
      <c r="G151" s="3" t="n">
        <v>37684</v>
      </c>
      <c r="H151" s="3" t="n">
        <v>3264</v>
      </c>
      <c r="I151" s="3" t="n">
        <v>34420</v>
      </c>
      <c r="J151" s="4" t="n">
        <v>195.45</v>
      </c>
      <c r="K151" s="4" t="n">
        <v>195.47</v>
      </c>
      <c r="L151" s="6">
        <f>F151*(K151-J151)</f>
        <v/>
      </c>
    </row>
    <row r="152" ht="16.5" customHeight="1">
      <c r="D152" s="2" t="inlineStr">
        <is>
          <t>台積電(2330)</t>
        </is>
      </c>
      <c r="E152" s="3" t="n">
        <v>161</v>
      </c>
      <c r="F152" s="3" t="n">
        <v>104</v>
      </c>
      <c r="G152" s="3" t="n">
        <v>36253</v>
      </c>
      <c r="H152" s="3" t="n">
        <v>23388</v>
      </c>
      <c r="I152" s="3" t="n">
        <v>12865</v>
      </c>
      <c r="J152" s="4" t="n">
        <v>2251.75</v>
      </c>
      <c r="K152" s="4" t="n">
        <v>2248.82</v>
      </c>
      <c r="L152" s="5">
        <f>F152*(K152-J152)</f>
        <v/>
      </c>
    </row>
    <row r="153" ht="16.5" customHeight="1">
      <c r="D153" s="2" t="inlineStr">
        <is>
          <t>聯發科(2454)</t>
        </is>
      </c>
      <c r="E153" s="3" t="n">
        <v>58</v>
      </c>
      <c r="F153" s="3" t="n">
        <v>93</v>
      </c>
      <c r="G153" s="3" t="n">
        <v>21353</v>
      </c>
      <c r="H153" s="3" t="n">
        <v>34489</v>
      </c>
      <c r="I153" s="3" t="n">
        <v>-13136</v>
      </c>
      <c r="J153" s="4" t="n">
        <v>3681.62</v>
      </c>
      <c r="K153" s="4" t="n">
        <v>3708.54</v>
      </c>
      <c r="L153" s="6">
        <f>F153*(K153-J153)</f>
        <v/>
      </c>
    </row>
    <row r="154" ht="16.5" customHeight="1">
      <c r="D154" s="2" t="inlineStr">
        <is>
          <t>聯鈞(3450)</t>
        </is>
      </c>
      <c r="E154" s="3" t="n">
        <v>418</v>
      </c>
      <c r="F154" s="3" t="n">
        <v>249</v>
      </c>
      <c r="G154" s="3" t="n">
        <v>19568</v>
      </c>
      <c r="H154" s="3" t="n">
        <v>11664</v>
      </c>
      <c r="I154" s="3" t="n">
        <v>7904</v>
      </c>
      <c r="J154" s="4" t="n">
        <v>468.14</v>
      </c>
      <c r="K154" s="4" t="n">
        <v>468.43</v>
      </c>
      <c r="L154" s="6">
        <f>F154*(K154-J154)</f>
        <v/>
      </c>
    </row>
    <row r="155" ht="16.5" customHeight="1">
      <c r="B155" s="1" t="inlineStr">
        <is>
          <t>常下分點</t>
        </is>
      </c>
      <c r="C155" s="1" t="inlineStr">
        <is>
          <t>分點代號</t>
        </is>
      </c>
      <c r="D155" s="1" t="inlineStr">
        <is>
          <t>標的</t>
        </is>
      </c>
      <c r="E155" s="1" t="inlineStr">
        <is>
          <t>買進(張)</t>
        </is>
      </c>
      <c r="F155" s="1" t="inlineStr">
        <is>
          <t>賣出(張)</t>
        </is>
      </c>
      <c r="G155" s="1" t="inlineStr">
        <is>
          <t>買進(萬元)</t>
        </is>
      </c>
      <c r="H155" s="1" t="inlineStr">
        <is>
          <t>賣出(萬元)</t>
        </is>
      </c>
      <c r="I155" s="1" t="inlineStr">
        <is>
          <t>淨買差(萬元)</t>
        </is>
      </c>
      <c r="J155" s="1" t="inlineStr">
        <is>
          <t>買均</t>
        </is>
      </c>
      <c r="K155" s="1" t="inlineStr">
        <is>
          <t>賣均</t>
        </is>
      </c>
      <c r="L155" s="1" t="inlineStr">
        <is>
          <t>損益(萬)</t>
        </is>
      </c>
    </row>
    <row r="156" ht="16.5" customHeight="1">
      <c r="B156" s="1" t="inlineStr">
        <is>
          <t>華南永昌證券</t>
        </is>
      </c>
      <c r="C156" s="1" t="inlineStr">
        <is>
          <t>9300</t>
        </is>
      </c>
      <c r="D156" s="2" t="inlineStr">
        <is>
          <t>南亞科(2408)</t>
        </is>
      </c>
      <c r="E156" s="3" t="n">
        <v>7376</v>
      </c>
      <c r="F156" s="3" t="n">
        <v>8959</v>
      </c>
      <c r="G156" s="3" t="n">
        <v>231873</v>
      </c>
      <c r="H156" s="3" t="n">
        <v>281870</v>
      </c>
      <c r="I156" s="3" t="n">
        <v>-49997</v>
      </c>
      <c r="J156" s="4" t="n">
        <v>314.36</v>
      </c>
      <c r="K156" s="4" t="n">
        <v>314.62</v>
      </c>
      <c r="L156" s="6">
        <f>F156*(K156-J156)</f>
        <v/>
      </c>
    </row>
    <row r="157" ht="16.5" customHeight="1">
      <c r="D157" s="2" t="inlineStr">
        <is>
          <t>華邦電(2344)</t>
        </is>
      </c>
      <c r="E157" s="3" t="n">
        <v>4685</v>
      </c>
      <c r="F157" s="3" t="n">
        <v>782</v>
      </c>
      <c r="G157" s="3" t="n">
        <v>56372</v>
      </c>
      <c r="H157" s="3" t="n">
        <v>9387</v>
      </c>
      <c r="I157" s="3" t="n">
        <v>46985</v>
      </c>
      <c r="J157" s="4" t="n">
        <v>120.33</v>
      </c>
      <c r="K157" s="4" t="n">
        <v>120.04</v>
      </c>
      <c r="L157" s="5">
        <f>F157*(K157-J157)</f>
        <v/>
      </c>
    </row>
    <row r="158" ht="16.5" customHeight="1">
      <c r="D158" s="2" t="inlineStr">
        <is>
          <t>元太(8069)</t>
        </is>
      </c>
      <c r="E158" s="3" t="n">
        <v>1952</v>
      </c>
      <c r="F158" s="3" t="n">
        <v>1385</v>
      </c>
      <c r="G158" s="3" t="n">
        <v>38152</v>
      </c>
      <c r="H158" s="3" t="n">
        <v>27075</v>
      </c>
      <c r="I158" s="3" t="n">
        <v>11077</v>
      </c>
      <c r="J158" s="4" t="n">
        <v>195.45</v>
      </c>
      <c r="K158" s="4" t="n">
        <v>195.49</v>
      </c>
      <c r="L158" s="6">
        <f>F158*(K158-J158)</f>
        <v/>
      </c>
    </row>
    <row r="159" ht="16.5" customHeight="1">
      <c r="D159" s="2" t="inlineStr">
        <is>
          <t>群聯(8299)</t>
        </is>
      </c>
      <c r="E159" s="3" t="n">
        <v>99</v>
      </c>
      <c r="F159" s="3" t="n">
        <v>50</v>
      </c>
      <c r="G159" s="3" t="n">
        <v>27063</v>
      </c>
      <c r="H159" s="3" t="n">
        <v>13739</v>
      </c>
      <c r="I159" s="3" t="n">
        <v>13324</v>
      </c>
      <c r="J159" s="4" t="n">
        <v>2733.66</v>
      </c>
      <c r="K159" s="4" t="n">
        <v>2747.76</v>
      </c>
      <c r="L159" s="6">
        <f>F159*(K159-J159)</f>
        <v/>
      </c>
    </row>
    <row r="160" ht="16.5" customHeight="1">
      <c r="D160" s="2" t="inlineStr">
        <is>
          <t>緯穎(6669)</t>
        </is>
      </c>
      <c r="E160" s="3" t="n">
        <v>42</v>
      </c>
      <c r="F160" s="3" t="n">
        <v>8</v>
      </c>
      <c r="G160" s="3" t="n">
        <v>24258</v>
      </c>
      <c r="H160" s="3" t="n">
        <v>4407</v>
      </c>
      <c r="I160" s="3" t="n">
        <v>19851</v>
      </c>
      <c r="J160" s="4" t="n">
        <v>5775.71</v>
      </c>
      <c r="K160" s="4" t="n">
        <v>5508.38</v>
      </c>
      <c r="L160" s="5">
        <f>F160*(K160-J160)</f>
        <v/>
      </c>
    </row>
    <row r="161" ht="16.5" customHeight="1">
      <c r="D161" s="2" t="inlineStr">
        <is>
          <t>華碩(2357)</t>
        </is>
      </c>
      <c r="E161" s="3" t="n">
        <v>329</v>
      </c>
      <c r="F161" s="3" t="n">
        <v>134</v>
      </c>
      <c r="G161" s="3" t="n">
        <v>22346</v>
      </c>
      <c r="H161" s="3" t="n">
        <v>9035</v>
      </c>
      <c r="I161" s="3" t="n">
        <v>13311</v>
      </c>
      <c r="J161" s="4" t="n">
        <v>679.2</v>
      </c>
      <c r="K161" s="4" t="n">
        <v>674.22</v>
      </c>
      <c r="L161" s="5">
        <f>F161*(K161-J161)</f>
        <v/>
      </c>
    </row>
    <row r="162" ht="16.5" customHeight="1">
      <c r="D162" s="2" t="inlineStr">
        <is>
          <t>國巨*(2327)</t>
        </is>
      </c>
      <c r="E162" s="3" t="n">
        <v>537</v>
      </c>
      <c r="F162" s="3" t="n">
        <v>256</v>
      </c>
      <c r="G162" s="3" t="n">
        <v>22063</v>
      </c>
      <c r="H162" s="3" t="n">
        <v>10637</v>
      </c>
      <c r="I162" s="3" t="n">
        <v>11426</v>
      </c>
      <c r="J162" s="4" t="n">
        <v>410.85</v>
      </c>
      <c r="K162" s="4" t="n">
        <v>415.51</v>
      </c>
      <c r="L162" s="6">
        <f>F162*(K162-J162)</f>
        <v/>
      </c>
    </row>
    <row r="163" ht="16.5" customHeight="1">
      <c r="D163" s="2" t="inlineStr">
        <is>
          <t>中華電(2412)</t>
        </is>
      </c>
      <c r="E163" s="3" t="n">
        <v>1503</v>
      </c>
      <c r="F163" s="3" t="n">
        <v>216</v>
      </c>
      <c r="G163" s="3" t="n">
        <v>20444</v>
      </c>
      <c r="H163" s="3" t="n">
        <v>2948</v>
      </c>
      <c r="I163" s="3" t="n">
        <v>17496</v>
      </c>
      <c r="J163" s="4" t="n">
        <v>136.02</v>
      </c>
      <c r="K163" s="4" t="n">
        <v>136.46</v>
      </c>
      <c r="L163" s="6">
        <f>F163*(K163-J163)</f>
        <v/>
      </c>
    </row>
    <row r="164" ht="16.5" customHeight="1">
      <c r="D164" s="2" t="inlineStr">
        <is>
          <t>勤誠(8210)</t>
        </is>
      </c>
      <c r="E164" s="3" t="n">
        <v>123</v>
      </c>
      <c r="F164" s="3" t="n">
        <v>22</v>
      </c>
      <c r="G164" s="3" t="n">
        <v>19055</v>
      </c>
      <c r="H164" s="3" t="n">
        <v>3387</v>
      </c>
      <c r="I164" s="3" t="n">
        <v>15668</v>
      </c>
      <c r="J164" s="4" t="n">
        <v>1549.16</v>
      </c>
      <c r="K164" s="4" t="n">
        <v>1539.45</v>
      </c>
      <c r="L164" s="5">
        <f>F164*(K164-J164)</f>
        <v/>
      </c>
    </row>
    <row r="165" ht="16.5" customHeight="1">
      <c r="D165" s="2" t="inlineStr">
        <is>
          <t>世芯-KY(3661)</t>
        </is>
      </c>
      <c r="E165" s="3" t="n">
        <v>36</v>
      </c>
      <c r="F165" s="3" t="n">
        <v>3</v>
      </c>
      <c r="G165" s="3" t="n">
        <v>18903</v>
      </c>
      <c r="H165" s="3" t="n">
        <v>1819</v>
      </c>
      <c r="I165" s="3" t="n">
        <v>17084</v>
      </c>
      <c r="J165" s="4" t="n">
        <v>5250.94</v>
      </c>
      <c r="K165" s="4" t="n">
        <v>6064.67</v>
      </c>
      <c r="L165" s="6">
        <f>F165*(K165-J165)</f>
        <v/>
      </c>
    </row>
    <row r="166" ht="16.5" customHeight="1">
      <c r="B166" s="1" t="inlineStr">
        <is>
          <t>常下分點</t>
        </is>
      </c>
      <c r="C166" s="1" t="inlineStr">
        <is>
          <t>分點代號</t>
        </is>
      </c>
      <c r="D166" s="1" t="inlineStr">
        <is>
          <t>標的</t>
        </is>
      </c>
      <c r="E166" s="1" t="inlineStr">
        <is>
          <t>買進(張)</t>
        </is>
      </c>
      <c r="F166" s="1" t="inlineStr">
        <is>
          <t>賣出(張)</t>
        </is>
      </c>
      <c r="G166" s="1" t="inlineStr">
        <is>
          <t>買進(萬元)</t>
        </is>
      </c>
      <c r="H166" s="1" t="inlineStr">
        <is>
          <t>賣出(萬元)</t>
        </is>
      </c>
      <c r="I166" s="1" t="inlineStr">
        <is>
          <t>淨買差(萬元)</t>
        </is>
      </c>
      <c r="J166" s="1" t="inlineStr">
        <is>
          <t>買均</t>
        </is>
      </c>
      <c r="K166" s="1" t="inlineStr">
        <is>
          <t>賣均</t>
        </is>
      </c>
      <c r="L166" s="1" t="inlineStr">
        <is>
          <t>損益(萬)</t>
        </is>
      </c>
    </row>
    <row r="167" ht="16.5" customHeight="1">
      <c r="B167" s="1" t="inlineStr">
        <is>
          <t>凱基-信義</t>
        </is>
      </c>
      <c r="C167" s="1" t="inlineStr">
        <is>
          <t>9216</t>
        </is>
      </c>
      <c r="D167" s="2" t="inlineStr">
        <is>
          <t>聯電(2303)</t>
        </is>
      </c>
      <c r="E167" s="3" t="n">
        <v>14076</v>
      </c>
      <c r="F167" s="3" t="n">
        <v>8926</v>
      </c>
      <c r="G167" s="3" t="n">
        <v>146913</v>
      </c>
      <c r="H167" s="3" t="n">
        <v>92953</v>
      </c>
      <c r="I167" s="3" t="n">
        <v>53960</v>
      </c>
      <c r="J167" s="4" t="n">
        <v>104.37</v>
      </c>
      <c r="K167" s="4" t="n">
        <v>104.14</v>
      </c>
      <c r="L167" s="5">
        <f>F167*(K167-J167)</f>
        <v/>
      </c>
    </row>
    <row r="168" ht="16.5" customHeight="1">
      <c r="D168" s="2" t="inlineStr">
        <is>
          <t>光寶科(2301)</t>
        </is>
      </c>
      <c r="E168" s="3" t="n">
        <v>2082</v>
      </c>
      <c r="F168" s="3" t="n">
        <v>3555</v>
      </c>
      <c r="G168" s="3" t="n">
        <v>51135</v>
      </c>
      <c r="H168" s="3" t="n">
        <v>87222</v>
      </c>
      <c r="I168" s="3" t="n">
        <v>-36087</v>
      </c>
      <c r="J168" s="4" t="n">
        <v>245.6</v>
      </c>
      <c r="K168" s="4" t="n">
        <v>245.35</v>
      </c>
      <c r="L168" s="5">
        <f>F168*(K168-J168)</f>
        <v/>
      </c>
    </row>
    <row r="169" ht="16.5" customHeight="1">
      <c r="D169" s="2" t="inlineStr">
        <is>
          <t>群創(3481)</t>
        </is>
      </c>
      <c r="E169" s="3" t="n">
        <v>10410</v>
      </c>
      <c r="F169" s="3" t="n">
        <v>3965</v>
      </c>
      <c r="G169" s="3" t="n">
        <v>36458</v>
      </c>
      <c r="H169" s="3" t="n">
        <v>13745</v>
      </c>
      <c r="I169" s="3" t="n">
        <v>22713</v>
      </c>
      <c r="J169" s="4" t="n">
        <v>35.02</v>
      </c>
      <c r="K169" s="4" t="n">
        <v>34.67</v>
      </c>
      <c r="L169" s="5">
        <f>F169*(K169-J169)</f>
        <v/>
      </c>
    </row>
    <row r="170" ht="16.5" customHeight="1">
      <c r="D170" s="2" t="inlineStr">
        <is>
          <t>新盛力(4931)</t>
        </is>
      </c>
      <c r="E170" s="3" t="n">
        <v>1683</v>
      </c>
      <c r="F170" s="3" t="n">
        <v>28</v>
      </c>
      <c r="G170" s="3" t="n">
        <v>34433</v>
      </c>
      <c r="H170" s="3" t="n">
        <v>556</v>
      </c>
      <c r="I170" s="3" t="n">
        <v>33877</v>
      </c>
      <c r="J170" s="4" t="n">
        <v>204.59</v>
      </c>
      <c r="K170" s="4" t="n">
        <v>198.68</v>
      </c>
      <c r="L170" s="5">
        <f>F170*(K170-J170)</f>
        <v/>
      </c>
    </row>
    <row r="171" ht="16.5" customHeight="1">
      <c r="D171" s="2" t="inlineStr">
        <is>
          <t>凌航(3135)</t>
        </is>
      </c>
      <c r="E171" s="3" t="n">
        <v>1392</v>
      </c>
      <c r="F171" s="3" t="n">
        <v>1</v>
      </c>
      <c r="G171" s="3" t="n">
        <v>29719</v>
      </c>
      <c r="H171" s="3" t="n">
        <v>1</v>
      </c>
      <c r="I171" s="3" t="n">
        <v>29718</v>
      </c>
      <c r="J171" s="4" t="n">
        <v>213.5</v>
      </c>
      <c r="K171" s="4" t="n">
        <v>12</v>
      </c>
      <c r="L171" s="5">
        <f>F171*(K171-J171)</f>
        <v/>
      </c>
    </row>
    <row r="172" ht="16.5" customHeight="1">
      <c r="D172" s="2" t="inlineStr">
        <is>
          <t>愛普*(6531)</t>
        </is>
      </c>
      <c r="E172" s="3" t="n">
        <v>273</v>
      </c>
      <c r="F172" s="3" t="n">
        <v>3</v>
      </c>
      <c r="G172" s="3" t="n">
        <v>28136</v>
      </c>
      <c r="H172" s="3" t="n">
        <v>309</v>
      </c>
      <c r="I172" s="3" t="n">
        <v>27827</v>
      </c>
      <c r="J172" s="4" t="n">
        <v>1030.62</v>
      </c>
      <c r="K172" s="4" t="n">
        <v>1028.67</v>
      </c>
      <c r="L172" s="5">
        <f>F172*(K172-J172)</f>
        <v/>
      </c>
    </row>
    <row r="173" ht="16.5" customHeight="1">
      <c r="D173" s="2" t="inlineStr">
        <is>
          <t>大立光(3008)</t>
        </is>
      </c>
      <c r="E173" s="3" t="n">
        <v>100</v>
      </c>
      <c r="F173" s="3" t="n">
        <v>1</v>
      </c>
      <c r="G173" s="3" t="n">
        <v>27950</v>
      </c>
      <c r="H173" s="3" t="n">
        <v>205</v>
      </c>
      <c r="I173" s="3" t="n">
        <v>27745</v>
      </c>
      <c r="J173" s="4" t="n">
        <v>2795</v>
      </c>
      <c r="K173" s="4" t="n">
        <v>2050</v>
      </c>
      <c r="L173" s="5">
        <f>F173*(K173-J173)</f>
        <v/>
      </c>
    </row>
    <row r="174" ht="16.5" customHeight="1">
      <c r="D174" s="2" t="inlineStr">
        <is>
          <t>尖點(8021)</t>
        </is>
      </c>
      <c r="E174" s="3" t="n">
        <v>541</v>
      </c>
      <c r="F174" s="3" t="n">
        <v>4</v>
      </c>
      <c r="G174" s="3" t="n">
        <v>25498</v>
      </c>
      <c r="H174" s="3" t="n">
        <v>187</v>
      </c>
      <c r="I174" s="3" t="n">
        <v>25311</v>
      </c>
      <c r="J174" s="4" t="n">
        <v>471.3</v>
      </c>
      <c r="K174" s="4" t="n">
        <v>467.5</v>
      </c>
      <c r="L174" s="5">
        <f>F174*(K174-J174)</f>
        <v/>
      </c>
    </row>
    <row r="175" ht="16.5" customHeight="1">
      <c r="D175" s="2" t="inlineStr">
        <is>
          <t>南亞科(2408)</t>
        </is>
      </c>
      <c r="E175" s="3" t="n">
        <v>469</v>
      </c>
      <c r="F175" s="3" t="n">
        <v>2864</v>
      </c>
      <c r="G175" s="3" t="n">
        <v>14872</v>
      </c>
      <c r="H175" s="3" t="n">
        <v>89108</v>
      </c>
      <c r="I175" s="3" t="n">
        <v>-74236</v>
      </c>
      <c r="J175" s="4" t="n">
        <v>317.11</v>
      </c>
      <c r="K175" s="4" t="n">
        <v>311.13</v>
      </c>
      <c r="L175" s="5">
        <f>F175*(K175-J175)</f>
        <v/>
      </c>
    </row>
    <row r="176" ht="16.5" customHeight="1">
      <c r="D176" s="2" t="inlineStr">
        <is>
          <t>緯穎(6669)</t>
        </is>
      </c>
      <c r="E176" s="3" t="n">
        <v>23</v>
      </c>
      <c r="F176" s="3" t="n">
        <v>1</v>
      </c>
      <c r="G176" s="3" t="n">
        <v>13159</v>
      </c>
      <c r="H176" s="3" t="n">
        <v>580</v>
      </c>
      <c r="I176" s="3" t="n">
        <v>12579</v>
      </c>
      <c r="J176" s="4" t="n">
        <v>5721.35</v>
      </c>
      <c r="K176" s="4" t="n">
        <v>5805</v>
      </c>
      <c r="L176" s="6">
        <f>F176*(K176-J176)</f>
        <v/>
      </c>
    </row>
    <row r="177" ht="16.5" customHeight="1">
      <c r="B177" s="1" t="inlineStr">
        <is>
          <t>常下分點</t>
        </is>
      </c>
      <c r="C177" s="1" t="inlineStr">
        <is>
          <t>分點代號</t>
        </is>
      </c>
      <c r="D177" s="1" t="inlineStr">
        <is>
          <t>標的</t>
        </is>
      </c>
      <c r="E177" s="1" t="inlineStr">
        <is>
          <t>買進(張)</t>
        </is>
      </c>
      <c r="F177" s="1" t="inlineStr">
        <is>
          <t>賣出(張)</t>
        </is>
      </c>
      <c r="G177" s="1" t="inlineStr">
        <is>
          <t>買進(萬元)</t>
        </is>
      </c>
      <c r="H177" s="1" t="inlineStr">
        <is>
          <t>賣出(萬元)</t>
        </is>
      </c>
      <c r="I177" s="1" t="inlineStr">
        <is>
          <t>淨買差(萬元)</t>
        </is>
      </c>
      <c r="J177" s="1" t="inlineStr">
        <is>
          <t>買均</t>
        </is>
      </c>
      <c r="K177" s="1" t="inlineStr">
        <is>
          <t>賣均</t>
        </is>
      </c>
      <c r="L177" s="1" t="inlineStr">
        <is>
          <t>損益(萬)</t>
        </is>
      </c>
    </row>
    <row r="178" ht="16.5" customHeight="1">
      <c r="B178" s="1" t="inlineStr">
        <is>
          <t>富邦-新店</t>
        </is>
      </c>
      <c r="C178" s="1" t="inlineStr">
        <is>
          <t>9661</t>
        </is>
      </c>
      <c r="D178" s="2" t="inlineStr">
        <is>
          <t>南亞科(2408)</t>
        </is>
      </c>
      <c r="E178" s="3" t="n">
        <v>1768</v>
      </c>
      <c r="F178" s="3" t="n">
        <v>486</v>
      </c>
      <c r="G178" s="3" t="n">
        <v>55796</v>
      </c>
      <c r="H178" s="3" t="n">
        <v>15375</v>
      </c>
      <c r="I178" s="3" t="n">
        <v>40421</v>
      </c>
      <c r="J178" s="4" t="n">
        <v>315.59</v>
      </c>
      <c r="K178" s="4" t="n">
        <v>316.36</v>
      </c>
      <c r="L178" s="6">
        <f>F178*(K178-J178)</f>
        <v/>
      </c>
    </row>
    <row r="179" ht="16.5" customHeight="1">
      <c r="D179" s="2" t="inlineStr">
        <is>
          <t>華邦電(2344)</t>
        </is>
      </c>
      <c r="E179" s="3" t="n">
        <v>4446</v>
      </c>
      <c r="F179" s="3" t="n">
        <v>268</v>
      </c>
      <c r="G179" s="3" t="n">
        <v>53924</v>
      </c>
      <c r="H179" s="3" t="n">
        <v>3222</v>
      </c>
      <c r="I179" s="3" t="n">
        <v>50702</v>
      </c>
      <c r="J179" s="4" t="n">
        <v>121.29</v>
      </c>
      <c r="K179" s="4" t="n">
        <v>120.23</v>
      </c>
      <c r="L179" s="5">
        <f>F179*(K179-J179)</f>
        <v/>
      </c>
    </row>
    <row r="180" ht="16.5" customHeight="1">
      <c r="D180" s="2" t="inlineStr">
        <is>
          <t>景碩(3189)</t>
        </is>
      </c>
      <c r="E180" s="3" t="n">
        <v>919</v>
      </c>
      <c r="F180" s="3" t="n">
        <v>13</v>
      </c>
      <c r="G180" s="3" t="n">
        <v>47166</v>
      </c>
      <c r="H180" s="3" t="n">
        <v>673</v>
      </c>
      <c r="I180" s="3" t="n">
        <v>46493</v>
      </c>
      <c r="J180" s="4" t="n">
        <v>513.23</v>
      </c>
      <c r="K180" s="4" t="n">
        <v>517.85</v>
      </c>
      <c r="L180" s="6">
        <f>F180*(K180-J180)</f>
        <v/>
      </c>
    </row>
    <row r="181" ht="16.5" customHeight="1">
      <c r="D181" s="2" t="inlineStr">
        <is>
          <t>華新科(2492)</t>
        </is>
      </c>
      <c r="E181" s="3" t="n">
        <v>2171</v>
      </c>
      <c r="F181" s="3" t="n">
        <v>43</v>
      </c>
      <c r="G181" s="3" t="n">
        <v>39823</v>
      </c>
      <c r="H181" s="3" t="n">
        <v>796</v>
      </c>
      <c r="I181" s="3" t="n">
        <v>39027</v>
      </c>
      <c r="J181" s="4" t="n">
        <v>183.43</v>
      </c>
      <c r="K181" s="4" t="n">
        <v>185.21</v>
      </c>
      <c r="L181" s="6">
        <f>F181*(K181-J181)</f>
        <v/>
      </c>
    </row>
    <row r="182" ht="16.5" customHeight="1">
      <c r="D182" s="2" t="inlineStr">
        <is>
          <t>主動統一升級50(00403A)</t>
        </is>
      </c>
      <c r="E182" s="3" t="n">
        <v>14254</v>
      </c>
      <c r="F182" s="3" t="n">
        <v>2577</v>
      </c>
      <c r="G182" s="3" t="n">
        <v>15298</v>
      </c>
      <c r="H182" s="3" t="n">
        <v>2792</v>
      </c>
      <c r="I182" s="3" t="n">
        <v>12506</v>
      </c>
      <c r="J182" s="4" t="n">
        <v>10.73</v>
      </c>
      <c r="K182" s="4" t="n">
        <v>10.84</v>
      </c>
      <c r="L182" s="6">
        <f>F182*(K182-J182)</f>
        <v/>
      </c>
    </row>
    <row r="183" ht="16.5" customHeight="1">
      <c r="D183" s="2" t="inlineStr">
        <is>
          <t>臺慶科(3357)</t>
        </is>
      </c>
      <c r="E183" s="3" t="n">
        <v>524</v>
      </c>
      <c r="F183" s="3" t="n">
        <v>31</v>
      </c>
      <c r="G183" s="3" t="n">
        <v>10106</v>
      </c>
      <c r="H183" s="3" t="n">
        <v>601</v>
      </c>
      <c r="I183" s="3" t="n">
        <v>9505</v>
      </c>
      <c r="J183" s="4" t="n">
        <v>192.85</v>
      </c>
      <c r="K183" s="4" t="n">
        <v>193.97</v>
      </c>
      <c r="L183" s="6">
        <f>F183*(K183-J183)</f>
        <v/>
      </c>
    </row>
    <row r="184" ht="16.5" customHeight="1">
      <c r="D184" s="2" t="inlineStr">
        <is>
          <t>台積電(2330)</t>
        </is>
      </c>
      <c r="E184" s="3" t="n">
        <v>33</v>
      </c>
      <c r="F184" s="3" t="n">
        <v>39</v>
      </c>
      <c r="G184" s="3" t="n">
        <v>7541</v>
      </c>
      <c r="H184" s="3" t="n">
        <v>8712</v>
      </c>
      <c r="I184" s="3" t="n">
        <v>-1171</v>
      </c>
      <c r="J184" s="4" t="n">
        <v>2285.06</v>
      </c>
      <c r="K184" s="4" t="n">
        <v>2233.95</v>
      </c>
      <c r="L184" s="5">
        <f>F184*(K184-J184)</f>
        <v/>
      </c>
    </row>
    <row r="185" ht="16.5" customHeight="1">
      <c r="D185" s="2" t="inlineStr">
        <is>
          <t>臻鼎-KY(4958)</t>
        </is>
      </c>
      <c r="E185" s="3" t="n">
        <v>142</v>
      </c>
      <c r="F185" s="3" t="n">
        <v>49</v>
      </c>
      <c r="G185" s="3" t="n">
        <v>5934</v>
      </c>
      <c r="H185" s="3" t="n">
        <v>2050</v>
      </c>
      <c r="I185" s="3" t="n">
        <v>3884</v>
      </c>
      <c r="J185" s="4" t="n">
        <v>417.9</v>
      </c>
      <c r="K185" s="4" t="n">
        <v>418.47</v>
      </c>
      <c r="L185" s="6">
        <f>F185*(K185-J185)</f>
        <v/>
      </c>
    </row>
    <row r="186" ht="16.5" customHeight="1">
      <c r="D186" s="2" t="inlineStr">
        <is>
          <t>國巨*(2327)</t>
        </is>
      </c>
      <c r="E186" s="3" t="n">
        <v>124</v>
      </c>
      <c r="F186" s="3" t="n">
        <v>148</v>
      </c>
      <c r="G186" s="3" t="n">
        <v>5200</v>
      </c>
      <c r="H186" s="3" t="n">
        <v>6202</v>
      </c>
      <c r="I186" s="3" t="n">
        <v>-1002</v>
      </c>
      <c r="J186" s="4" t="n">
        <v>419.39</v>
      </c>
      <c r="K186" s="4" t="n">
        <v>419.07</v>
      </c>
      <c r="L186" s="5">
        <f>F186*(K186-J186)</f>
        <v/>
      </c>
    </row>
    <row r="187" ht="16.5" customHeight="1">
      <c r="D187" s="2" t="inlineStr">
        <is>
          <t>華星光(4979)</t>
        </is>
      </c>
      <c r="E187" s="3" t="n">
        <v>76</v>
      </c>
      <c r="F187" s="3" t="n">
        <v>61</v>
      </c>
      <c r="G187" s="3" t="n">
        <v>4984</v>
      </c>
      <c r="H187" s="3" t="n">
        <v>3998</v>
      </c>
      <c r="I187" s="3" t="n">
        <v>986</v>
      </c>
      <c r="J187" s="4" t="n">
        <v>655.74</v>
      </c>
      <c r="K187" s="4" t="n">
        <v>655.39</v>
      </c>
      <c r="L187" s="5">
        <f>F187*(K187-J187)</f>
        <v/>
      </c>
    </row>
    <row r="188" ht="16.5" customHeight="1">
      <c r="B188" s="1" t="inlineStr">
        <is>
          <t>常下分點</t>
        </is>
      </c>
      <c r="C188" s="1" t="inlineStr">
        <is>
          <t>分點代號</t>
        </is>
      </c>
      <c r="D188" s="1" t="inlineStr">
        <is>
          <t>標的</t>
        </is>
      </c>
      <c r="E188" s="1" t="inlineStr">
        <is>
          <t>買進(張)</t>
        </is>
      </c>
      <c r="F188" s="1" t="inlineStr">
        <is>
          <t>賣出(張)</t>
        </is>
      </c>
      <c r="G188" s="1" t="inlineStr">
        <is>
          <t>買進(萬元)</t>
        </is>
      </c>
      <c r="H188" s="1" t="inlineStr">
        <is>
          <t>賣出(萬元)</t>
        </is>
      </c>
      <c r="I188" s="1" t="inlineStr">
        <is>
          <t>淨買差(萬元)</t>
        </is>
      </c>
      <c r="J188" s="1" t="inlineStr">
        <is>
          <t>買均</t>
        </is>
      </c>
      <c r="K188" s="1" t="inlineStr">
        <is>
          <t>賣均</t>
        </is>
      </c>
      <c r="L188" s="1" t="inlineStr">
        <is>
          <t>損益(萬)</t>
        </is>
      </c>
    </row>
    <row r="189" ht="16.5" customHeight="1">
      <c r="B189" s="1" t="inlineStr">
        <is>
          <t>永豐金-內湖</t>
        </is>
      </c>
      <c r="C189" s="1" t="inlineStr">
        <is>
          <t>9A9g</t>
        </is>
      </c>
      <c r="D189" s="2" t="inlineStr">
        <is>
          <t>緯穎(6669)</t>
        </is>
      </c>
      <c r="E189" s="3" t="n">
        <v>71</v>
      </c>
      <c r="F189" s="3" t="n">
        <v>1</v>
      </c>
      <c r="G189" s="3" t="n">
        <v>40346</v>
      </c>
      <c r="H189" s="3" t="n">
        <v>47</v>
      </c>
      <c r="I189" s="3" t="n">
        <v>40299</v>
      </c>
      <c r="J189" s="4" t="n">
        <v>5682.48</v>
      </c>
      <c r="K189" s="4" t="n">
        <v>470</v>
      </c>
      <c r="L189" s="5">
        <f>F189*(K189-J189)</f>
        <v/>
      </c>
    </row>
    <row r="190" ht="16.5" customHeight="1">
      <c r="D190" s="2" t="inlineStr">
        <is>
          <t>世芯-KY(3661)</t>
        </is>
      </c>
      <c r="E190" s="3" t="n">
        <v>16</v>
      </c>
      <c r="F190" s="3" t="n">
        <v>7</v>
      </c>
      <c r="G190" s="3" t="n">
        <v>8279</v>
      </c>
      <c r="H190" s="3" t="n">
        <v>3590</v>
      </c>
      <c r="I190" s="3" t="n">
        <v>4689</v>
      </c>
      <c r="J190" s="4" t="n">
        <v>5174.56</v>
      </c>
      <c r="K190" s="4" t="n">
        <v>5127.86</v>
      </c>
      <c r="L190" s="5">
        <f>F190*(K190-J190)</f>
        <v/>
      </c>
    </row>
    <row r="191" ht="16.5" customHeight="1">
      <c r="D191" s="2" t="inlineStr">
        <is>
          <t>台半(5425)</t>
        </is>
      </c>
      <c r="E191" s="3" t="n">
        <v>953</v>
      </c>
      <c r="F191" s="3" t="n">
        <v>174</v>
      </c>
      <c r="G191" s="3" t="n">
        <v>7748</v>
      </c>
      <c r="H191" s="3" t="n">
        <v>1421</v>
      </c>
      <c r="I191" s="3" t="n">
        <v>6327</v>
      </c>
      <c r="J191" s="4" t="n">
        <v>81.3</v>
      </c>
      <c r="K191" s="4" t="n">
        <v>81.67</v>
      </c>
      <c r="L191" s="6">
        <f>F191*(K191-J191)</f>
        <v/>
      </c>
    </row>
    <row r="192" ht="16.5" customHeight="1">
      <c r="D192" s="2" t="inlineStr">
        <is>
          <t>啟��(6285)</t>
        </is>
      </c>
      <c r="E192" s="3" t="n">
        <v>226</v>
      </c>
      <c r="F192" s="3" t="n">
        <v>139</v>
      </c>
      <c r="G192" s="3" t="n">
        <v>6328</v>
      </c>
      <c r="H192" s="3" t="n">
        <v>3765</v>
      </c>
      <c r="I192" s="3" t="n">
        <v>2563</v>
      </c>
      <c r="J192" s="4" t="n">
        <v>280</v>
      </c>
      <c r="K192" s="4" t="n">
        <v>270.89</v>
      </c>
      <c r="L192" s="5">
        <f>F192*(K192-J192)</f>
        <v/>
      </c>
    </row>
    <row r="193" ht="16.5" customHeight="1">
      <c r="D193" s="2" t="inlineStr">
        <is>
          <t>宜鼎(5289)</t>
        </is>
      </c>
      <c r="E193" s="3" t="n">
        <v>29</v>
      </c>
      <c r="F193" s="3" t="n">
        <v>41</v>
      </c>
      <c r="G193" s="3" t="n">
        <v>5292</v>
      </c>
      <c r="H193" s="3" t="n">
        <v>7358</v>
      </c>
      <c r="I193" s="3" t="n">
        <v>-2066</v>
      </c>
      <c r="J193" s="4" t="n">
        <v>1824.66</v>
      </c>
      <c r="K193" s="4" t="n">
        <v>1794.66</v>
      </c>
      <c r="L193" s="5">
        <f>F193*(K193-J193)</f>
        <v/>
      </c>
    </row>
    <row r="194" ht="16.5" customHeight="1">
      <c r="D194" s="2" t="inlineStr">
        <is>
          <t>主動統一升級50(00403A)</t>
        </is>
      </c>
      <c r="E194" s="3" t="n">
        <v>4919</v>
      </c>
      <c r="F194" s="3" t="n">
        <v>1632</v>
      </c>
      <c r="G194" s="3" t="n">
        <v>5274</v>
      </c>
      <c r="H194" s="3" t="n">
        <v>1757</v>
      </c>
      <c r="I194" s="3" t="n">
        <v>3517</v>
      </c>
      <c r="J194" s="4" t="n">
        <v>10.72</v>
      </c>
      <c r="K194" s="4" t="n">
        <v>10.77</v>
      </c>
      <c r="L194" s="6">
        <f>F194*(K194-J194)</f>
        <v/>
      </c>
    </row>
    <row r="195" ht="16.5" customHeight="1">
      <c r="D195" s="2" t="inlineStr">
        <is>
          <t>華新科(2492)</t>
        </is>
      </c>
      <c r="E195" s="3" t="n">
        <v>258</v>
      </c>
      <c r="F195" s="3" t="n">
        <v>107</v>
      </c>
      <c r="G195" s="3" t="n">
        <v>4802</v>
      </c>
      <c r="H195" s="3" t="n">
        <v>1883</v>
      </c>
      <c r="I195" s="3" t="n">
        <v>2919</v>
      </c>
      <c r="J195" s="4" t="n">
        <v>186.13</v>
      </c>
      <c r="K195" s="4" t="n">
        <v>175.95</v>
      </c>
      <c r="L195" s="5">
        <f>F195*(K195-J195)</f>
        <v/>
      </c>
    </row>
    <row r="196" ht="16.5" customHeight="1">
      <c r="D196" s="2" t="inlineStr">
        <is>
          <t>南亞科(2408)</t>
        </is>
      </c>
      <c r="E196" s="3" t="n">
        <v>151</v>
      </c>
      <c r="F196" s="3" t="n">
        <v>189</v>
      </c>
      <c r="G196" s="3" t="n">
        <v>4734</v>
      </c>
      <c r="H196" s="3" t="n">
        <v>5958</v>
      </c>
      <c r="I196" s="3" t="n">
        <v>-1224</v>
      </c>
      <c r="J196" s="4" t="n">
        <v>313.48</v>
      </c>
      <c r="K196" s="4" t="n">
        <v>315.22</v>
      </c>
      <c r="L196" s="6">
        <f>F196*(K196-J196)</f>
        <v/>
      </c>
    </row>
    <row r="197" ht="16.5" customHeight="1">
      <c r="D197" s="2" t="inlineStr">
        <is>
          <t>新唐(4919)</t>
        </is>
      </c>
      <c r="E197" s="3" t="n">
        <v>239</v>
      </c>
      <c r="F197" s="3" t="n">
        <v>70</v>
      </c>
      <c r="G197" s="3" t="n">
        <v>4511</v>
      </c>
      <c r="H197" s="3" t="n">
        <v>1313</v>
      </c>
      <c r="I197" s="3" t="n">
        <v>3198</v>
      </c>
      <c r="J197" s="4" t="n">
        <v>188.74</v>
      </c>
      <c r="K197" s="4" t="n">
        <v>187.53</v>
      </c>
      <c r="L197" s="5">
        <f>F197*(K197-J197)</f>
        <v/>
      </c>
    </row>
    <row r="198" ht="16.5" customHeight="1">
      <c r="D198" s="2" t="inlineStr">
        <is>
          <t>京元電子(2449)</t>
        </is>
      </c>
      <c r="E198" s="3" t="n">
        <v>133</v>
      </c>
      <c r="F198" s="3" t="n">
        <v>11</v>
      </c>
      <c r="G198" s="3" t="n">
        <v>3985</v>
      </c>
      <c r="H198" s="3" t="n">
        <v>340</v>
      </c>
      <c r="I198" s="3" t="n">
        <v>3645</v>
      </c>
      <c r="J198" s="4" t="n">
        <v>299.61</v>
      </c>
      <c r="K198" s="4" t="n">
        <v>309.45</v>
      </c>
      <c r="L198" s="6">
        <f>F198*(K198-J198)</f>
        <v/>
      </c>
    </row>
    <row r="199" ht="16.5" customHeight="1">
      <c r="A199" s="1" t="inlineStr">
        <is>
          <t>高手</t>
        </is>
      </c>
      <c r="B199" s="1" t="inlineStr">
        <is>
          <t>常下分點</t>
        </is>
      </c>
      <c r="C199" s="1" t="inlineStr">
        <is>
          <t>分點代號</t>
        </is>
      </c>
      <c r="D199" s="1" t="inlineStr">
        <is>
          <t>標的</t>
        </is>
      </c>
      <c r="E199" s="1" t="inlineStr">
        <is>
          <t>買進(張)</t>
        </is>
      </c>
      <c r="F199" s="1" t="inlineStr">
        <is>
          <t>賣出(張)</t>
        </is>
      </c>
      <c r="G199" s="1" t="inlineStr">
        <is>
          <t>買進(萬元)</t>
        </is>
      </c>
      <c r="H199" s="1" t="inlineStr">
        <is>
          <t>賣出(萬元)</t>
        </is>
      </c>
      <c r="I199" s="1" t="inlineStr">
        <is>
          <t>淨買差(萬元)</t>
        </is>
      </c>
      <c r="J199" s="1" t="inlineStr">
        <is>
          <t>買均</t>
        </is>
      </c>
      <c r="K199" s="1" t="inlineStr">
        <is>
          <t>賣均</t>
        </is>
      </c>
      <c r="L199" s="1" t="inlineStr">
        <is>
          <t>損益(萬)</t>
        </is>
      </c>
    </row>
    <row r="200" ht="16.5" customHeight="1">
      <c r="A200" s="1" t="inlineStr">
        <is>
          <t>陳律師</t>
        </is>
      </c>
      <c r="B200" s="1" t="inlineStr">
        <is>
          <t>兆豐-民生</t>
        </is>
      </c>
      <c r="C200" s="1" t="inlineStr">
        <is>
          <t>700c</t>
        </is>
      </c>
      <c r="D200" s="2" t="inlineStr">
        <is>
          <t>群聯(8299)</t>
        </is>
      </c>
      <c r="E200" s="3" t="n">
        <v>312</v>
      </c>
      <c r="F200" s="3" t="n">
        <v>9</v>
      </c>
      <c r="G200" s="3" t="n">
        <v>85960</v>
      </c>
      <c r="H200" s="3" t="n">
        <v>2408</v>
      </c>
      <c r="I200" s="3" t="n">
        <v>83552</v>
      </c>
      <c r="J200" s="4" t="n">
        <v>2755.13</v>
      </c>
      <c r="K200" s="4" t="n">
        <v>2676</v>
      </c>
      <c r="L200" s="5">
        <f>F200*(K200-J200)</f>
        <v/>
      </c>
    </row>
    <row r="201" ht="16.5" customHeight="1">
      <c r="D201" s="2" t="inlineStr">
        <is>
          <t>聯發科(2454)</t>
        </is>
      </c>
      <c r="E201" s="3" t="n">
        <v>19</v>
      </c>
      <c r="F201" s="3" t="n">
        <v>86</v>
      </c>
      <c r="G201" s="3" t="n">
        <v>7489</v>
      </c>
      <c r="H201" s="3" t="n">
        <v>32964</v>
      </c>
      <c r="I201" s="3" t="n">
        <v>-25475</v>
      </c>
      <c r="J201" s="4" t="n">
        <v>3941.63</v>
      </c>
      <c r="K201" s="4" t="n">
        <v>3833.07</v>
      </c>
      <c r="L201" s="5">
        <f>F201*(K201-J201)</f>
        <v/>
      </c>
    </row>
    <row r="202" ht="16.5" customHeight="1">
      <c r="D202" s="2" t="inlineStr">
        <is>
          <t>順德(2351)</t>
        </is>
      </c>
      <c r="E202" s="3" t="n">
        <v>386</v>
      </c>
      <c r="F202" s="3" t="n">
        <v>0</v>
      </c>
      <c r="G202" s="3" t="n">
        <v>6951</v>
      </c>
      <c r="H202" s="3" t="n">
        <v>0</v>
      </c>
      <c r="I202" s="3" t="n">
        <v>6951</v>
      </c>
      <c r="J202" s="4" t="n">
        <v>180.09</v>
      </c>
      <c r="K202" s="4" t="n">
        <v>0</v>
      </c>
      <c r="L202" s="6">
        <f>F202*(K202-J202)</f>
        <v/>
      </c>
    </row>
    <row r="203" ht="16.5" customHeight="1">
      <c r="D203" s="2" t="inlineStr">
        <is>
          <t>華星光(4979)</t>
        </is>
      </c>
      <c r="E203" s="3" t="n">
        <v>51</v>
      </c>
      <c r="F203" s="3" t="n">
        <v>30</v>
      </c>
      <c r="G203" s="3" t="n">
        <v>3356</v>
      </c>
      <c r="H203" s="3" t="n">
        <v>1998</v>
      </c>
      <c r="I203" s="3" t="n">
        <v>1358</v>
      </c>
      <c r="J203" s="4" t="n">
        <v>658.0599999999999</v>
      </c>
      <c r="K203" s="4" t="n">
        <v>666.17</v>
      </c>
      <c r="L203" s="6">
        <f>F203*(K203-J203)</f>
        <v/>
      </c>
    </row>
    <row r="204" ht="16.5" customHeight="1">
      <c r="D204" s="2" t="inlineStr">
        <is>
          <t>華邦電(2344)</t>
        </is>
      </c>
      <c r="E204" s="3" t="n">
        <v>259</v>
      </c>
      <c r="F204" s="3" t="n">
        <v>387</v>
      </c>
      <c r="G204" s="3" t="n">
        <v>3078</v>
      </c>
      <c r="H204" s="3" t="n">
        <v>4622</v>
      </c>
      <c r="I204" s="3" t="n">
        <v>-1544</v>
      </c>
      <c r="J204" s="4" t="n">
        <v>118.84</v>
      </c>
      <c r="K204" s="4" t="n">
        <v>119.42</v>
      </c>
      <c r="L204" s="6">
        <f>F204*(K204-J204)</f>
        <v/>
      </c>
    </row>
    <row r="205" ht="16.5" customHeight="1">
      <c r="D205" s="2" t="inlineStr">
        <is>
          <t>穩懋(3105)</t>
        </is>
      </c>
      <c r="E205" s="3" t="n">
        <v>53</v>
      </c>
      <c r="F205" s="3" t="n">
        <v>45</v>
      </c>
      <c r="G205" s="3" t="n">
        <v>2723</v>
      </c>
      <c r="H205" s="3" t="n">
        <v>2293</v>
      </c>
      <c r="I205" s="3" t="n">
        <v>430</v>
      </c>
      <c r="J205" s="4" t="n">
        <v>513.79</v>
      </c>
      <c r="K205" s="4" t="n">
        <v>509.49</v>
      </c>
      <c r="L205" s="5">
        <f>F205*(K205-J205)</f>
        <v/>
      </c>
    </row>
    <row r="206" ht="16.5" customHeight="1">
      <c r="D206" s="2" t="inlineStr">
        <is>
          <t>旺宏(2337)</t>
        </is>
      </c>
      <c r="E206" s="3" t="n">
        <v>175</v>
      </c>
      <c r="F206" s="3" t="n">
        <v>53</v>
      </c>
      <c r="G206" s="3" t="n">
        <v>2713</v>
      </c>
      <c r="H206" s="3" t="n">
        <v>818</v>
      </c>
      <c r="I206" s="3" t="n">
        <v>1895</v>
      </c>
      <c r="J206" s="4" t="n">
        <v>155.02</v>
      </c>
      <c r="K206" s="4" t="n">
        <v>154.32</v>
      </c>
      <c r="L206" s="5">
        <f>F206*(K206-J206)</f>
        <v/>
      </c>
    </row>
    <row r="207" ht="16.5" customHeight="1">
      <c r="D207" s="2" t="inlineStr">
        <is>
          <t>南亞科(2408)</t>
        </is>
      </c>
      <c r="E207" s="3" t="n">
        <v>77</v>
      </c>
      <c r="F207" s="3" t="n">
        <v>55</v>
      </c>
      <c r="G207" s="3" t="n">
        <v>2488</v>
      </c>
      <c r="H207" s="3" t="n">
        <v>1764</v>
      </c>
      <c r="I207" s="3" t="n">
        <v>724</v>
      </c>
      <c r="J207" s="4" t="n">
        <v>323.05</v>
      </c>
      <c r="K207" s="4" t="n">
        <v>320.65</v>
      </c>
      <c r="L207" s="5">
        <f>F207*(K207-J207)</f>
        <v/>
      </c>
    </row>
    <row r="208" ht="16.5" customHeight="1">
      <c r="D208" s="2" t="inlineStr">
        <is>
          <t>文曄(3036)</t>
        </is>
      </c>
      <c r="E208" s="3" t="n">
        <v>73</v>
      </c>
      <c r="F208" s="3" t="n">
        <v>233</v>
      </c>
      <c r="G208" s="3" t="n">
        <v>2014</v>
      </c>
      <c r="H208" s="3" t="n">
        <v>6272</v>
      </c>
      <c r="I208" s="3" t="n">
        <v>-4258</v>
      </c>
      <c r="J208" s="4" t="n">
        <v>275.86</v>
      </c>
      <c r="K208" s="4" t="n">
        <v>269.16</v>
      </c>
      <c r="L208" s="5">
        <f>F208*(K208-J208)</f>
        <v/>
      </c>
    </row>
    <row r="209" ht="16.5" customHeight="1">
      <c r="D209" s="2" t="inlineStr">
        <is>
          <t>艾笛森(3591)</t>
        </is>
      </c>
      <c r="E209" s="3" t="n">
        <v>756</v>
      </c>
      <c r="F209" s="3" t="n">
        <v>16</v>
      </c>
      <c r="G209" s="3" t="n">
        <v>1840</v>
      </c>
      <c r="H209" s="3" t="n">
        <v>39</v>
      </c>
      <c r="I209" s="3" t="n">
        <v>1801</v>
      </c>
      <c r="J209" s="4" t="n">
        <v>24.33</v>
      </c>
      <c r="K209" s="4" t="n">
        <v>24.5</v>
      </c>
      <c r="L209" s="6">
        <f>F209*(K209-J209)</f>
        <v/>
      </c>
    </row>
    <row r="210" ht="16.5" customHeight="1">
      <c r="B210" s="1" t="inlineStr">
        <is>
          <t>常下分點</t>
        </is>
      </c>
      <c r="C210" s="1" t="inlineStr">
        <is>
          <t>分點代號</t>
        </is>
      </c>
      <c r="D210" s="1" t="inlineStr">
        <is>
          <t>標的</t>
        </is>
      </c>
      <c r="E210" s="1" t="inlineStr">
        <is>
          <t>買進(張)</t>
        </is>
      </c>
      <c r="F210" s="1" t="inlineStr">
        <is>
          <t>賣出(張)</t>
        </is>
      </c>
      <c r="G210" s="1" t="inlineStr">
        <is>
          <t>買進(萬元)</t>
        </is>
      </c>
      <c r="H210" s="1" t="inlineStr">
        <is>
          <t>賣出(萬元)</t>
        </is>
      </c>
      <c r="I210" s="1" t="inlineStr">
        <is>
          <t>淨買差(萬元)</t>
        </is>
      </c>
      <c r="J210" s="1" t="inlineStr">
        <is>
          <t>買均</t>
        </is>
      </c>
      <c r="K210" s="1" t="inlineStr">
        <is>
          <t>賣均</t>
        </is>
      </c>
      <c r="L210" s="1" t="inlineStr">
        <is>
          <t>損益(萬)</t>
        </is>
      </c>
    </row>
    <row r="211" ht="16.5" customHeight="1">
      <c r="B211" s="1" t="inlineStr">
        <is>
          <t>康和總公司</t>
        </is>
      </c>
      <c r="C211" s="1" t="inlineStr">
        <is>
          <t>8450</t>
        </is>
      </c>
      <c r="D211" s="2" t="inlineStr">
        <is>
          <t>南亞科(2408)</t>
        </is>
      </c>
      <c r="E211" s="3" t="n">
        <v>3454</v>
      </c>
      <c r="F211" s="3" t="n">
        <v>5661</v>
      </c>
      <c r="G211" s="3" t="n">
        <v>110557</v>
      </c>
      <c r="H211" s="3" t="n">
        <v>179761</v>
      </c>
      <c r="I211" s="3" t="n">
        <v>-69204</v>
      </c>
      <c r="J211" s="4" t="n">
        <v>320.08</v>
      </c>
      <c r="K211" s="4" t="n">
        <v>317.54</v>
      </c>
      <c r="L211" s="5">
        <f>F211*(K211-J211)</f>
        <v/>
      </c>
    </row>
    <row r="212" ht="16.5" customHeight="1">
      <c r="D212" s="2" t="inlineStr">
        <is>
          <t>華通(2313)</t>
        </is>
      </c>
      <c r="E212" s="3" t="n">
        <v>973</v>
      </c>
      <c r="F212" s="3" t="n">
        <v>74</v>
      </c>
      <c r="G212" s="3" t="n">
        <v>25474</v>
      </c>
      <c r="H212" s="3" t="n">
        <v>1938</v>
      </c>
      <c r="I212" s="3" t="n">
        <v>23536</v>
      </c>
      <c r="J212" s="4" t="n">
        <v>261.81</v>
      </c>
      <c r="K212" s="4" t="n">
        <v>261.84</v>
      </c>
      <c r="L212" s="6">
        <f>F212*(K212-J212)</f>
        <v/>
      </c>
    </row>
    <row r="213" ht="16.5" customHeight="1">
      <c r="D213" s="2" t="inlineStr">
        <is>
          <t>勤誠(8210)</t>
        </is>
      </c>
      <c r="E213" s="3" t="n">
        <v>122</v>
      </c>
      <c r="F213" s="3" t="n">
        <v>2</v>
      </c>
      <c r="G213" s="3" t="n">
        <v>18892</v>
      </c>
      <c r="H213" s="3" t="n">
        <v>335</v>
      </c>
      <c r="I213" s="3" t="n">
        <v>18557</v>
      </c>
      <c r="J213" s="4" t="n">
        <v>1548.49</v>
      </c>
      <c r="K213" s="4" t="n">
        <v>1673.5</v>
      </c>
      <c r="L213" s="6">
        <f>F213*(K213-J213)</f>
        <v/>
      </c>
    </row>
    <row r="214" ht="16.5" customHeight="1">
      <c r="D214" s="2" t="inlineStr">
        <is>
          <t>景碩(3189)</t>
        </is>
      </c>
      <c r="E214" s="3" t="n">
        <v>285</v>
      </c>
      <c r="F214" s="3" t="n">
        <v>12</v>
      </c>
      <c r="G214" s="3" t="n">
        <v>14874</v>
      </c>
      <c r="H214" s="3" t="n">
        <v>624</v>
      </c>
      <c r="I214" s="3" t="n">
        <v>14250</v>
      </c>
      <c r="J214" s="4" t="n">
        <v>521.88</v>
      </c>
      <c r="K214" s="4" t="n">
        <v>519.92</v>
      </c>
      <c r="L214" s="5">
        <f>F214*(K214-J214)</f>
        <v/>
      </c>
    </row>
    <row r="215" ht="16.5" customHeight="1">
      <c r="D215" s="2" t="inlineStr">
        <is>
          <t>鴻勁(7769)</t>
        </is>
      </c>
      <c r="E215" s="3" t="n">
        <v>20</v>
      </c>
      <c r="F215" s="3" t="n">
        <v>2</v>
      </c>
      <c r="G215" s="3" t="n">
        <v>13811</v>
      </c>
      <c r="H215" s="3" t="n">
        <v>1395</v>
      </c>
      <c r="I215" s="3" t="n">
        <v>12416</v>
      </c>
      <c r="J215" s="4" t="n">
        <v>6905.3</v>
      </c>
      <c r="K215" s="4" t="n">
        <v>6976</v>
      </c>
      <c r="L215" s="6">
        <f>F215*(K215-J215)</f>
        <v/>
      </c>
    </row>
    <row r="216" ht="16.5" customHeight="1">
      <c r="D216" s="2" t="inlineStr">
        <is>
          <t>光洋科(1785)</t>
        </is>
      </c>
      <c r="E216" s="3" t="n">
        <v>619</v>
      </c>
      <c r="F216" s="3" t="n">
        <v>16</v>
      </c>
      <c r="G216" s="3" t="n">
        <v>9964</v>
      </c>
      <c r="H216" s="3" t="n">
        <v>255</v>
      </c>
      <c r="I216" s="3" t="n">
        <v>9709</v>
      </c>
      <c r="J216" s="4" t="n">
        <v>160.97</v>
      </c>
      <c r="K216" s="4" t="n">
        <v>159.31</v>
      </c>
      <c r="L216" s="5">
        <f>F216*(K216-J216)</f>
        <v/>
      </c>
    </row>
    <row r="217" ht="16.5" customHeight="1">
      <c r="D217" s="2" t="inlineStr">
        <is>
          <t>健策(3653)</t>
        </is>
      </c>
      <c r="E217" s="3" t="n">
        <v>22</v>
      </c>
      <c r="F217" s="3" t="n">
        <v>31</v>
      </c>
      <c r="G217" s="3" t="n">
        <v>8755</v>
      </c>
      <c r="H217" s="3" t="n">
        <v>12095</v>
      </c>
      <c r="I217" s="3" t="n">
        <v>-3340</v>
      </c>
      <c r="J217" s="4" t="n">
        <v>3979.45</v>
      </c>
      <c r="K217" s="4" t="n">
        <v>3901.55</v>
      </c>
      <c r="L217" s="5">
        <f>F217*(K217-J217)</f>
        <v/>
      </c>
    </row>
    <row r="218" ht="16.5" customHeight="1">
      <c r="D218" s="2" t="inlineStr">
        <is>
          <t>元大台灣高息低波(00713)</t>
        </is>
      </c>
      <c r="E218" s="3" t="n">
        <v>1570</v>
      </c>
      <c r="F218" s="3" t="n">
        <v>7</v>
      </c>
      <c r="G218" s="3" t="n">
        <v>8653</v>
      </c>
      <c r="H218" s="3" t="n">
        <v>39</v>
      </c>
      <c r="I218" s="3" t="n">
        <v>8614</v>
      </c>
      <c r="J218" s="4" t="n">
        <v>55.11</v>
      </c>
      <c r="K218" s="4" t="n">
        <v>55.71</v>
      </c>
      <c r="L218" s="6">
        <f>F218*(K218-J218)</f>
        <v/>
      </c>
    </row>
    <row r="219" ht="16.5" customHeight="1">
      <c r="D219" s="2" t="inlineStr">
        <is>
          <t>聯電(2303)</t>
        </is>
      </c>
      <c r="E219" s="3" t="n">
        <v>818</v>
      </c>
      <c r="F219" s="3" t="n">
        <v>65</v>
      </c>
      <c r="G219" s="3" t="n">
        <v>8297</v>
      </c>
      <c r="H219" s="3" t="n">
        <v>633</v>
      </c>
      <c r="I219" s="3" t="n">
        <v>7664</v>
      </c>
      <c r="J219" s="4" t="n">
        <v>101.44</v>
      </c>
      <c r="K219" s="4" t="n">
        <v>97.34999999999999</v>
      </c>
      <c r="L219" s="5">
        <f>F219*(K219-J219)</f>
        <v/>
      </c>
    </row>
    <row r="220" ht="16.5" customHeight="1">
      <c r="D220" s="2" t="inlineStr">
        <is>
          <t>緯穎(6669)</t>
        </is>
      </c>
      <c r="E220" s="3" t="n">
        <v>11</v>
      </c>
      <c r="F220" s="3" t="n">
        <v>1</v>
      </c>
      <c r="G220" s="3" t="n">
        <v>6265</v>
      </c>
      <c r="H220" s="3" t="n">
        <v>34</v>
      </c>
      <c r="I220" s="3" t="n">
        <v>6231</v>
      </c>
      <c r="J220" s="4" t="n">
        <v>5695.45</v>
      </c>
      <c r="K220" s="4" t="n">
        <v>336</v>
      </c>
      <c r="L220" s="5">
        <f>F220*(K220-J220)</f>
        <v/>
      </c>
    </row>
    <row r="221" ht="16.5" customHeight="1">
      <c r="B221" s="1" t="inlineStr">
        <is>
          <t>常下分點</t>
        </is>
      </c>
      <c r="C221" s="1" t="inlineStr">
        <is>
          <t>分點代號</t>
        </is>
      </c>
      <c r="D221" s="1" t="inlineStr">
        <is>
          <t>標的</t>
        </is>
      </c>
      <c r="E221" s="1" t="inlineStr">
        <is>
          <t>買進(張)</t>
        </is>
      </c>
      <c r="F221" s="1" t="inlineStr">
        <is>
          <t>賣出(張)</t>
        </is>
      </c>
      <c r="G221" s="1" t="inlineStr">
        <is>
          <t>買進(萬元)</t>
        </is>
      </c>
      <c r="H221" s="1" t="inlineStr">
        <is>
          <t>賣出(萬元)</t>
        </is>
      </c>
      <c r="I221" s="1" t="inlineStr">
        <is>
          <t>淨買差(萬元)</t>
        </is>
      </c>
      <c r="J221" s="1" t="inlineStr">
        <is>
          <t>買均</t>
        </is>
      </c>
      <c r="K221" s="1" t="inlineStr">
        <is>
          <t>賣均</t>
        </is>
      </c>
      <c r="L221" s="1" t="inlineStr">
        <is>
          <t>損益(萬)</t>
        </is>
      </c>
    </row>
    <row r="222" ht="16.5" customHeight="1">
      <c r="B222" s="1" t="inlineStr">
        <is>
          <t>永豐金-信義</t>
        </is>
      </c>
      <c r="C222" s="1" t="inlineStr">
        <is>
          <t>9A9R</t>
        </is>
      </c>
      <c r="D222" s="2" t="inlineStr">
        <is>
          <t>上銀(2049)</t>
        </is>
      </c>
      <c r="E222" s="3" t="n">
        <v>321</v>
      </c>
      <c r="F222" s="3" t="n">
        <v>3</v>
      </c>
      <c r="G222" s="3" t="n">
        <v>11858</v>
      </c>
      <c r="H222" s="3" t="n">
        <v>120</v>
      </c>
      <c r="I222" s="3" t="n">
        <v>11738</v>
      </c>
      <c r="J222" s="4" t="n">
        <v>369.4</v>
      </c>
      <c r="K222" s="4" t="n">
        <v>400.67</v>
      </c>
      <c r="L222" s="6">
        <f>F222*(K222-J222)</f>
        <v/>
      </c>
    </row>
    <row r="223" ht="16.5" customHeight="1">
      <c r="D223" s="2" t="inlineStr">
        <is>
          <t>和椿(6215)</t>
        </is>
      </c>
      <c r="E223" s="3" t="n">
        <v>901</v>
      </c>
      <c r="F223" s="3" t="n">
        <v>1</v>
      </c>
      <c r="G223" s="3" t="n">
        <v>11319</v>
      </c>
      <c r="H223" s="3" t="n">
        <v>12</v>
      </c>
      <c r="I223" s="3" t="n">
        <v>11307</v>
      </c>
      <c r="J223" s="4" t="n">
        <v>125.63</v>
      </c>
      <c r="K223" s="4" t="n">
        <v>125</v>
      </c>
      <c r="L223" s="5">
        <f>F223*(K223-J223)</f>
        <v/>
      </c>
    </row>
    <row r="224" ht="16.5" customHeight="1">
      <c r="D224" s="2" t="inlineStr">
        <is>
          <t>國精化(4722)</t>
        </is>
      </c>
      <c r="E224" s="3" t="n">
        <v>436</v>
      </c>
      <c r="F224" s="3" t="n">
        <v>402</v>
      </c>
      <c r="G224" s="3" t="n">
        <v>11265</v>
      </c>
      <c r="H224" s="3" t="n">
        <v>10386</v>
      </c>
      <c r="I224" s="3" t="n">
        <v>879</v>
      </c>
      <c r="J224" s="4" t="n">
        <v>258.36</v>
      </c>
      <c r="K224" s="4" t="n">
        <v>258.36</v>
      </c>
      <c r="L224" s="6">
        <f>F224*(K224-J224)</f>
        <v/>
      </c>
    </row>
    <row r="225" ht="16.5" customHeight="1">
      <c r="D225" s="2" t="inlineStr">
        <is>
          <t>大銀微系統(4576)</t>
        </is>
      </c>
      <c r="E225" s="3" t="n">
        <v>247</v>
      </c>
      <c r="F225" s="3" t="n">
        <v>50</v>
      </c>
      <c r="G225" s="3" t="n">
        <v>6324</v>
      </c>
      <c r="H225" s="3" t="n">
        <v>1268</v>
      </c>
      <c r="I225" s="3" t="n">
        <v>5056</v>
      </c>
      <c r="J225" s="4" t="n">
        <v>256.03</v>
      </c>
      <c r="K225" s="4" t="n">
        <v>253.5</v>
      </c>
      <c r="L225" s="5">
        <f>F225*(K225-J225)</f>
        <v/>
      </c>
    </row>
    <row r="226" ht="16.5" customHeight="1">
      <c r="D226" s="2" t="inlineStr">
        <is>
          <t>緯穎(6669)</t>
        </is>
      </c>
      <c r="E226" s="3" t="n">
        <v>11</v>
      </c>
      <c r="F226" s="3" t="n">
        <v>6</v>
      </c>
      <c r="G226" s="3" t="n">
        <v>6152</v>
      </c>
      <c r="H226" s="3" t="n">
        <v>3499</v>
      </c>
      <c r="I226" s="3" t="n">
        <v>2653</v>
      </c>
      <c r="J226" s="4" t="n">
        <v>5592.73</v>
      </c>
      <c r="K226" s="4" t="n">
        <v>5832.33</v>
      </c>
      <c r="L226" s="6">
        <f>F226*(K226-J226)</f>
        <v/>
      </c>
    </row>
    <row r="227" ht="16.5" customHeight="1">
      <c r="D227" s="2" t="inlineStr">
        <is>
          <t>燿華(2367)</t>
        </is>
      </c>
      <c r="E227" s="3" t="n">
        <v>912</v>
      </c>
      <c r="F227" s="3" t="n">
        <v>7</v>
      </c>
      <c r="G227" s="3" t="n">
        <v>5875</v>
      </c>
      <c r="H227" s="3" t="n">
        <v>45</v>
      </c>
      <c r="I227" s="3" t="n">
        <v>5830</v>
      </c>
      <c r="J227" s="4" t="n">
        <v>64.42</v>
      </c>
      <c r="K227" s="4" t="n">
        <v>64</v>
      </c>
      <c r="L227" s="5">
        <f>F227*(K227-J227)</f>
        <v/>
      </c>
    </row>
    <row r="228" ht="16.5" customHeight="1">
      <c r="D228" s="2" t="inlineStr">
        <is>
          <t>華邦電(2344)</t>
        </is>
      </c>
      <c r="E228" s="3" t="n">
        <v>366</v>
      </c>
      <c r="F228" s="3" t="n">
        <v>73</v>
      </c>
      <c r="G228" s="3" t="n">
        <v>4387</v>
      </c>
      <c r="H228" s="3" t="n">
        <v>883</v>
      </c>
      <c r="I228" s="3" t="n">
        <v>3504</v>
      </c>
      <c r="J228" s="4" t="n">
        <v>119.86</v>
      </c>
      <c r="K228" s="4" t="n">
        <v>120.97</v>
      </c>
      <c r="L228" s="6">
        <f>F228*(K228-J228)</f>
        <v/>
      </c>
    </row>
    <row r="229" ht="16.5" customHeight="1">
      <c r="D229" s="2" t="inlineStr">
        <is>
          <t>華通(2313)</t>
        </is>
      </c>
      <c r="E229" s="3" t="n">
        <v>150</v>
      </c>
      <c r="F229" s="3" t="n">
        <v>21</v>
      </c>
      <c r="G229" s="3" t="n">
        <v>3917</v>
      </c>
      <c r="H229" s="3" t="n">
        <v>545</v>
      </c>
      <c r="I229" s="3" t="n">
        <v>3372</v>
      </c>
      <c r="J229" s="4" t="n">
        <v>261.12</v>
      </c>
      <c r="K229" s="4" t="n">
        <v>259.67</v>
      </c>
      <c r="L229" s="5">
        <f>F229*(K229-J229)</f>
        <v/>
      </c>
    </row>
    <row r="230" ht="16.5" customHeight="1">
      <c r="D230" s="2" t="inlineStr">
        <is>
          <t>國巨*(2327)</t>
        </is>
      </c>
      <c r="E230" s="3" t="n">
        <v>87</v>
      </c>
      <c r="F230" s="3" t="n">
        <v>162</v>
      </c>
      <c r="G230" s="3" t="n">
        <v>3637</v>
      </c>
      <c r="H230" s="3" t="n">
        <v>6510</v>
      </c>
      <c r="I230" s="3" t="n">
        <v>-2873</v>
      </c>
      <c r="J230" s="4" t="n">
        <v>418.01</v>
      </c>
      <c r="K230" s="4" t="n">
        <v>401.88</v>
      </c>
      <c r="L230" s="5">
        <f>F230*(K230-J230)</f>
        <v/>
      </c>
    </row>
    <row r="231" ht="16.5" customHeight="1">
      <c r="D231" s="2" t="inlineStr">
        <is>
          <t>信昌電(6173)</t>
        </is>
      </c>
      <c r="E231" s="3" t="n">
        <v>190</v>
      </c>
      <c r="F231" s="3" t="n">
        <v>0</v>
      </c>
      <c r="G231" s="3" t="n">
        <v>2793</v>
      </c>
      <c r="H231" s="3" t="n">
        <v>0</v>
      </c>
      <c r="I231" s="3" t="n">
        <v>2793</v>
      </c>
      <c r="J231" s="4" t="n">
        <v>147</v>
      </c>
      <c r="K231" s="4" t="n">
        <v>0</v>
      </c>
      <c r="L231" s="6">
        <f>F231*(K231-J231)</f>
        <v/>
      </c>
    </row>
    <row r="232" ht="16.5" customHeight="1">
      <c r="B232" s="1" t="inlineStr">
        <is>
          <t>常下分點</t>
        </is>
      </c>
      <c r="C232" s="1" t="inlineStr">
        <is>
          <t>分點代號</t>
        </is>
      </c>
      <c r="D232" s="1" t="inlineStr">
        <is>
          <t>標的</t>
        </is>
      </c>
      <c r="E232" s="1" t="inlineStr">
        <is>
          <t>買進(張)</t>
        </is>
      </c>
      <c r="F232" s="1" t="inlineStr">
        <is>
          <t>賣出(張)</t>
        </is>
      </c>
      <c r="G232" s="1" t="inlineStr">
        <is>
          <t>買進(萬元)</t>
        </is>
      </c>
      <c r="H232" s="1" t="inlineStr">
        <is>
          <t>賣出(萬元)</t>
        </is>
      </c>
      <c r="I232" s="1" t="inlineStr">
        <is>
          <t>淨買差(萬元)</t>
        </is>
      </c>
      <c r="J232" s="1" t="inlineStr">
        <is>
          <t>買均</t>
        </is>
      </c>
      <c r="K232" s="1" t="inlineStr">
        <is>
          <t>賣均</t>
        </is>
      </c>
      <c r="L232" s="1" t="inlineStr">
        <is>
          <t>損益(萬)</t>
        </is>
      </c>
    </row>
    <row r="233" ht="16.5" customHeight="1">
      <c r="B233" s="1" t="inlineStr">
        <is>
          <t>統一-仁愛</t>
        </is>
      </c>
      <c r="C233" s="1" t="inlineStr">
        <is>
          <t>585c</t>
        </is>
      </c>
      <c r="D233" s="2" t="inlineStr">
        <is>
          <t>聯電(2303)</t>
        </is>
      </c>
      <c r="E233" s="3" t="n">
        <v>3042</v>
      </c>
      <c r="F233" s="3" t="n">
        <v>62</v>
      </c>
      <c r="G233" s="3" t="n">
        <v>30663</v>
      </c>
      <c r="H233" s="3" t="n">
        <v>635</v>
      </c>
      <c r="I233" s="3" t="n">
        <v>30028</v>
      </c>
      <c r="J233" s="4" t="n">
        <v>100.8</v>
      </c>
      <c r="K233" s="4" t="n">
        <v>102.39</v>
      </c>
      <c r="L233" s="6">
        <f>F233*(K233-J233)</f>
        <v/>
      </c>
    </row>
    <row r="234" ht="16.5" customHeight="1">
      <c r="D234" s="2" t="inlineStr">
        <is>
          <t>群聯(8299)</t>
        </is>
      </c>
      <c r="E234" s="3" t="n">
        <v>12</v>
      </c>
      <c r="F234" s="3" t="n">
        <v>15</v>
      </c>
      <c r="G234" s="3" t="n">
        <v>3368</v>
      </c>
      <c r="H234" s="3" t="n">
        <v>4102</v>
      </c>
      <c r="I234" s="3" t="n">
        <v>-734</v>
      </c>
      <c r="J234" s="4" t="n">
        <v>2807</v>
      </c>
      <c r="K234" s="4" t="n">
        <v>2734.8</v>
      </c>
      <c r="L234" s="5">
        <f>F234*(K234-J234)</f>
        <v/>
      </c>
    </row>
    <row r="235" ht="16.5" customHeight="1">
      <c r="D235" s="2" t="inlineStr">
        <is>
          <t>華通(2313)</t>
        </is>
      </c>
      <c r="E235" s="3" t="n">
        <v>126</v>
      </c>
      <c r="F235" s="3" t="n">
        <v>25</v>
      </c>
      <c r="G235" s="3" t="n">
        <v>3230</v>
      </c>
      <c r="H235" s="3" t="n">
        <v>661</v>
      </c>
      <c r="I235" s="3" t="n">
        <v>2569</v>
      </c>
      <c r="J235" s="4" t="n">
        <v>256.33</v>
      </c>
      <c r="K235" s="4" t="n">
        <v>264.24</v>
      </c>
      <c r="L235" s="6">
        <f>F235*(K235-J235)</f>
        <v/>
      </c>
    </row>
    <row r="236" ht="16.5" customHeight="1">
      <c r="D236" s="2" t="inlineStr">
        <is>
          <t>金居(8358)</t>
        </is>
      </c>
      <c r="E236" s="3" t="n">
        <v>63</v>
      </c>
      <c r="F236" s="3" t="n">
        <v>13</v>
      </c>
      <c r="G236" s="3" t="n">
        <v>3084</v>
      </c>
      <c r="H236" s="3" t="n">
        <v>612</v>
      </c>
      <c r="I236" s="3" t="n">
        <v>2472</v>
      </c>
      <c r="J236" s="4" t="n">
        <v>489.54</v>
      </c>
      <c r="K236" s="4" t="n">
        <v>470.46</v>
      </c>
      <c r="L236" s="5">
        <f>F236*(K236-J236)</f>
        <v/>
      </c>
    </row>
    <row r="237" ht="16.5" customHeight="1">
      <c r="D237" s="2" t="inlineStr">
        <is>
          <t>華星光(4979)</t>
        </is>
      </c>
      <c r="E237" s="3" t="n">
        <v>43</v>
      </c>
      <c r="F237" s="3" t="n">
        <v>10</v>
      </c>
      <c r="G237" s="3" t="n">
        <v>2868</v>
      </c>
      <c r="H237" s="3" t="n">
        <v>687</v>
      </c>
      <c r="I237" s="3" t="n">
        <v>2181</v>
      </c>
      <c r="J237" s="4" t="n">
        <v>667.09</v>
      </c>
      <c r="K237" s="4" t="n">
        <v>686.6</v>
      </c>
      <c r="L237" s="6">
        <f>F237*(K237-J237)</f>
        <v/>
      </c>
    </row>
    <row r="238" ht="16.5" customHeight="1">
      <c r="D238" s="2" t="inlineStr">
        <is>
          <t>南亞科(2408)</t>
        </is>
      </c>
      <c r="E238" s="3" t="n">
        <v>82</v>
      </c>
      <c r="F238" s="3" t="n">
        <v>36</v>
      </c>
      <c r="G238" s="3" t="n">
        <v>2577</v>
      </c>
      <c r="H238" s="3" t="n">
        <v>1133</v>
      </c>
      <c r="I238" s="3" t="n">
        <v>1444</v>
      </c>
      <c r="J238" s="4" t="n">
        <v>314.22</v>
      </c>
      <c r="K238" s="4" t="n">
        <v>314.69</v>
      </c>
      <c r="L238" s="6">
        <f>F238*(K238-J238)</f>
        <v/>
      </c>
    </row>
    <row r="239" ht="16.5" customHeight="1">
      <c r="D239" s="2" t="inlineStr">
        <is>
          <t>眾達-KY(4977)</t>
        </is>
      </c>
      <c r="E239" s="3" t="n">
        <v>77</v>
      </c>
      <c r="F239" s="3" t="n">
        <v>40</v>
      </c>
      <c r="G239" s="3" t="n">
        <v>1988</v>
      </c>
      <c r="H239" s="3" t="n">
        <v>1035</v>
      </c>
      <c r="I239" s="3" t="n">
        <v>953</v>
      </c>
      <c r="J239" s="4" t="n">
        <v>258.25</v>
      </c>
      <c r="K239" s="4" t="n">
        <v>258.65</v>
      </c>
      <c r="L239" s="6">
        <f>F239*(K239-J239)</f>
        <v/>
      </c>
    </row>
    <row r="240" ht="16.5" customHeight="1">
      <c r="D240" s="2" t="inlineStr">
        <is>
          <t>創意(3443)</t>
        </is>
      </c>
      <c r="E240" s="3" t="n">
        <v>3</v>
      </c>
      <c r="F240" s="3" t="n">
        <v>2</v>
      </c>
      <c r="G240" s="3" t="n">
        <v>1890</v>
      </c>
      <c r="H240" s="3" t="n">
        <v>1131</v>
      </c>
      <c r="I240" s="3" t="n">
        <v>759</v>
      </c>
      <c r="J240" s="4" t="n">
        <v>6301.67</v>
      </c>
      <c r="K240" s="4" t="n">
        <v>5655</v>
      </c>
      <c r="L240" s="5">
        <f>F240*(K240-J240)</f>
        <v/>
      </c>
    </row>
    <row r="241" ht="16.5" customHeight="1">
      <c r="D241" s="2" t="inlineStr">
        <is>
          <t>光洋科(1785)</t>
        </is>
      </c>
      <c r="E241" s="3" t="n">
        <v>115</v>
      </c>
      <c r="F241" s="3" t="n">
        <v>1</v>
      </c>
      <c r="G241" s="3" t="n">
        <v>1827</v>
      </c>
      <c r="H241" s="3" t="n">
        <v>16</v>
      </c>
      <c r="I241" s="3" t="n">
        <v>1811</v>
      </c>
      <c r="J241" s="4" t="n">
        <v>158.86</v>
      </c>
      <c r="K241" s="4" t="n">
        <v>157</v>
      </c>
      <c r="L241" s="5">
        <f>F241*(K241-J241)</f>
        <v/>
      </c>
    </row>
    <row r="242" ht="16.5" customHeight="1">
      <c r="D242" s="2" t="inlineStr">
        <is>
          <t>精材(3374)</t>
        </is>
      </c>
      <c r="E242" s="3" t="n">
        <v>71</v>
      </c>
      <c r="F242" s="3" t="n">
        <v>102</v>
      </c>
      <c r="G242" s="3" t="n">
        <v>1814</v>
      </c>
      <c r="H242" s="3" t="n">
        <v>2609</v>
      </c>
      <c r="I242" s="3" t="n">
        <v>-795</v>
      </c>
      <c r="J242" s="4" t="n">
        <v>255.54</v>
      </c>
      <c r="K242" s="4" t="n">
        <v>255.77</v>
      </c>
      <c r="L242" s="6">
        <f>F242*(K242-J242)</f>
        <v/>
      </c>
    </row>
    <row r="243" ht="16.5" customHeight="1">
      <c r="A243" s="1" t="inlineStr">
        <is>
          <t>高手</t>
        </is>
      </c>
      <c r="B243" s="1" t="inlineStr">
        <is>
          <t>常下分點</t>
        </is>
      </c>
      <c r="C243" s="1" t="inlineStr">
        <is>
          <t>分點代號</t>
        </is>
      </c>
      <c r="D243" s="1" t="inlineStr">
        <is>
          <t>標的</t>
        </is>
      </c>
      <c r="E243" s="1" t="inlineStr">
        <is>
          <t>買進(張)</t>
        </is>
      </c>
      <c r="F243" s="1" t="inlineStr">
        <is>
          <t>賣出(張)</t>
        </is>
      </c>
      <c r="G243" s="1" t="inlineStr">
        <is>
          <t>買進(萬元)</t>
        </is>
      </c>
      <c r="H243" s="1" t="inlineStr">
        <is>
          <t>賣出(萬元)</t>
        </is>
      </c>
      <c r="I243" s="1" t="inlineStr">
        <is>
          <t>淨買差(萬元)</t>
        </is>
      </c>
      <c r="J243" s="1" t="inlineStr">
        <is>
          <t>買均</t>
        </is>
      </c>
      <c r="K243" s="1" t="inlineStr">
        <is>
          <t>賣均</t>
        </is>
      </c>
      <c r="L243" s="1" t="inlineStr">
        <is>
          <t>損益(萬)</t>
        </is>
      </c>
    </row>
    <row r="244" ht="16.5" customHeight="1">
      <c r="A244" s="1" t="inlineStr">
        <is>
          <t>迷你哥/松山哥</t>
        </is>
      </c>
      <c r="B244" s="1" t="inlineStr">
        <is>
          <t>凱基-松山</t>
        </is>
      </c>
      <c r="C244" s="1" t="inlineStr">
        <is>
          <t>9217</t>
        </is>
      </c>
      <c r="D244" s="2" t="inlineStr">
        <is>
          <t>IET-KY(4971) ▲9.96%</t>
        </is>
      </c>
      <c r="E244" s="3" t="n">
        <v>830</v>
      </c>
      <c r="F244" s="3" t="n">
        <v>13</v>
      </c>
      <c r="G244" s="3" t="n">
        <v>65981</v>
      </c>
      <c r="H244" s="3" t="n">
        <v>1008</v>
      </c>
      <c r="I244" s="3" t="n">
        <v>64973</v>
      </c>
      <c r="J244" s="4" t="n">
        <v>794.95</v>
      </c>
      <c r="K244" s="4" t="n">
        <v>775.62</v>
      </c>
      <c r="L244" s="5">
        <f>F244*(K244-J244)</f>
        <v/>
      </c>
    </row>
    <row r="245" ht="16.5" customHeight="1">
      <c r="D245" s="2" t="inlineStr">
        <is>
          <t>祥碩(5269) ▲9.71%</t>
        </is>
      </c>
      <c r="E245" s="3" t="n">
        <v>10</v>
      </c>
      <c r="F245" s="3" t="n">
        <v>1</v>
      </c>
      <c r="G245" s="3" t="n">
        <v>1546</v>
      </c>
      <c r="H245" s="3" t="n">
        <v>179</v>
      </c>
      <c r="I245" s="3" t="n">
        <v>1367</v>
      </c>
      <c r="J245" s="4" t="n">
        <v>1545.9</v>
      </c>
      <c r="K245" s="4" t="n">
        <v>1793</v>
      </c>
      <c r="L245" s="6">
        <f>F245*(K245-J245)</f>
        <v/>
      </c>
    </row>
    <row r="246" ht="16.5" customHeight="1">
      <c r="D246" s="2" t="inlineStr">
        <is>
          <t>友達(2409) ▲9.81%</t>
        </is>
      </c>
      <c r="E246" s="3" t="n">
        <v>177</v>
      </c>
      <c r="F246" s="3" t="n">
        <v>467</v>
      </c>
      <c r="G246" s="3" t="n">
        <v>346</v>
      </c>
      <c r="H246" s="3" t="n">
        <v>932</v>
      </c>
      <c r="I246" s="3" t="n">
        <v>-586</v>
      </c>
      <c r="J246" s="4" t="n">
        <v>19.54</v>
      </c>
      <c r="K246" s="4" t="n">
        <v>19.97</v>
      </c>
      <c r="L246" s="6">
        <f>F246*(K246-J246)</f>
        <v/>
      </c>
    </row>
    <row r="247" ht="16.5" customHeight="1">
      <c r="D247" s="2" t="inlineStr">
        <is>
          <t>蜜望實(8043) ▲9.92%</t>
        </is>
      </c>
      <c r="E247" s="3" t="n">
        <v>36</v>
      </c>
      <c r="F247" s="3" t="n">
        <v>5</v>
      </c>
      <c r="G247" s="3" t="n">
        <v>326</v>
      </c>
      <c r="H247" s="3" t="n">
        <v>44</v>
      </c>
      <c r="I247" s="3" t="n">
        <v>282</v>
      </c>
      <c r="J247" s="4" t="n">
        <v>90.67</v>
      </c>
      <c r="K247" s="4" t="n">
        <v>89</v>
      </c>
      <c r="L247" s="5">
        <f>F247*(K247-J247)</f>
        <v/>
      </c>
    </row>
    <row r="248" ht="16.5" customHeight="1">
      <c r="D248" s="2" t="inlineStr">
        <is>
          <t>聯電(2303) ▲10.0%</t>
        </is>
      </c>
      <c r="E248" s="3" t="n">
        <v>31</v>
      </c>
      <c r="F248" s="3" t="n">
        <v>1660</v>
      </c>
      <c r="G248" s="3" t="n">
        <v>304</v>
      </c>
      <c r="H248" s="3" t="n">
        <v>16049</v>
      </c>
      <c r="I248" s="3" t="n">
        <v>-15745</v>
      </c>
      <c r="J248" s="4" t="n">
        <v>97.90000000000001</v>
      </c>
      <c r="K248" s="4" t="n">
        <v>96.68000000000001</v>
      </c>
      <c r="L248" s="5">
        <f>F248*(K248-J248)</f>
        <v/>
      </c>
    </row>
    <row r="249" ht="16.5" customHeight="1">
      <c r="D249" s="2" t="inlineStr">
        <is>
          <t>聯鈞(3450) ▲9.93%</t>
        </is>
      </c>
      <c r="E249" s="3" t="n">
        <v>1</v>
      </c>
      <c r="F249" s="3" t="n">
        <v>8</v>
      </c>
      <c r="G249" s="3" t="n">
        <v>47</v>
      </c>
      <c r="H249" s="3" t="n">
        <v>386</v>
      </c>
      <c r="I249" s="3" t="n">
        <v>-339</v>
      </c>
      <c r="J249" s="4" t="n">
        <v>471</v>
      </c>
      <c r="K249" s="4" t="n">
        <v>482.25</v>
      </c>
      <c r="L249" s="6">
        <f>F249*(K249-J249)</f>
        <v/>
      </c>
    </row>
    <row r="250" ht="16.5" customHeight="1">
      <c r="D250" s="2" t="inlineStr">
        <is>
          <t>元太(8069) ▲9.83%</t>
        </is>
      </c>
      <c r="E250" s="3" t="n">
        <v>2</v>
      </c>
      <c r="F250" s="3" t="n">
        <v>74</v>
      </c>
      <c r="G250" s="3" t="n">
        <v>41</v>
      </c>
      <c r="H250" s="3" t="n">
        <v>1448</v>
      </c>
      <c r="I250" s="3" t="n">
        <v>-1407</v>
      </c>
      <c r="J250" s="4" t="n">
        <v>203.5</v>
      </c>
      <c r="K250" s="4" t="n">
        <v>195.68</v>
      </c>
      <c r="L250" s="5">
        <f>F250*(K250-J250)</f>
        <v/>
      </c>
    </row>
    <row r="251" ht="16.5" customHeight="1">
      <c r="D251" s="2" t="inlineStr">
        <is>
          <t>志聖(2467) ▲10.0%</t>
        </is>
      </c>
      <c r="E251" s="3" t="n">
        <v>1</v>
      </c>
      <c r="F251" s="3" t="n">
        <v>4</v>
      </c>
      <c r="G251" s="3" t="n">
        <v>32</v>
      </c>
      <c r="H251" s="3" t="n">
        <v>285</v>
      </c>
      <c r="I251" s="3" t="n">
        <v>-253</v>
      </c>
      <c r="J251" s="4" t="n">
        <v>324</v>
      </c>
      <c r="K251" s="4" t="n">
        <v>712.5</v>
      </c>
      <c r="L251" s="6">
        <f>F251*(K251-J251)</f>
        <v/>
      </c>
    </row>
    <row r="252" ht="16.5" customHeight="1">
      <c r="D252" s="2" t="inlineStr">
        <is>
          <t>振樺電(8114) ▲9.86%</t>
        </is>
      </c>
      <c r="E252" s="3" t="n">
        <v>1</v>
      </c>
      <c r="F252" s="3" t="n">
        <v>18</v>
      </c>
      <c r="G252" s="3" t="n">
        <v>24</v>
      </c>
      <c r="H252" s="3" t="n">
        <v>425</v>
      </c>
      <c r="I252" s="3" t="n">
        <v>-401</v>
      </c>
      <c r="J252" s="4" t="n">
        <v>240</v>
      </c>
      <c r="K252" s="4" t="n">
        <v>235.89</v>
      </c>
      <c r="L252" s="5">
        <f>F252*(K252-J252)</f>
        <v/>
      </c>
    </row>
    <row r="253" ht="16.5" customHeight="1">
      <c r="D253" s="2" t="inlineStr">
        <is>
          <t>凌航(3135) ▲9.77%</t>
        </is>
      </c>
      <c r="E253" s="3" t="n">
        <v>1</v>
      </c>
      <c r="F253" s="3" t="n">
        <v>105</v>
      </c>
      <c r="G253" s="3" t="n">
        <v>21</v>
      </c>
      <c r="H253" s="3" t="n">
        <v>2242</v>
      </c>
      <c r="I253" s="3" t="n">
        <v>-2221</v>
      </c>
      <c r="J253" s="4" t="n">
        <v>212</v>
      </c>
      <c r="K253" s="4" t="n">
        <v>213.48</v>
      </c>
      <c r="L253" s="6">
        <f>F253*(K253-J253)</f>
        <v/>
      </c>
    </row>
    <row r="254" ht="16.5" customHeight="1">
      <c r="B254" s="1" t="inlineStr">
        <is>
          <t>常下分點</t>
        </is>
      </c>
      <c r="C254" s="1" t="inlineStr">
        <is>
          <t>分點代號</t>
        </is>
      </c>
      <c r="D254" s="1" t="inlineStr">
        <is>
          <t>標的</t>
        </is>
      </c>
      <c r="E254" s="1" t="inlineStr">
        <is>
          <t>買進(張)</t>
        </is>
      </c>
      <c r="F254" s="1" t="inlineStr">
        <is>
          <t>賣出(張)</t>
        </is>
      </c>
      <c r="G254" s="1" t="inlineStr">
        <is>
          <t>買進(萬元)</t>
        </is>
      </c>
      <c r="H254" s="1" t="inlineStr">
        <is>
          <t>賣出(萬元)</t>
        </is>
      </c>
      <c r="I254" s="1" t="inlineStr">
        <is>
          <t>淨買差(萬元)</t>
        </is>
      </c>
      <c r="J254" s="1" t="inlineStr">
        <is>
          <t>買均</t>
        </is>
      </c>
      <c r="K254" s="1" t="inlineStr">
        <is>
          <t>賣均</t>
        </is>
      </c>
      <c r="L254" s="1" t="inlineStr">
        <is>
          <t>損益(萬)</t>
        </is>
      </c>
    </row>
    <row r="255" ht="16.5" customHeight="1">
      <c r="B255" s="1" t="inlineStr">
        <is>
          <t>凱基證券</t>
        </is>
      </c>
      <c r="C255" s="1" t="inlineStr">
        <is>
          <t>9200</t>
        </is>
      </c>
      <c r="D255" s="2" t="inlineStr">
        <is>
          <t>聯電(2303) ▲10.0%</t>
        </is>
      </c>
      <c r="E255" s="3" t="n">
        <v>12272</v>
      </c>
      <c r="F255" s="3" t="n">
        <v>2292</v>
      </c>
      <c r="G255" s="3" t="n">
        <v>126783</v>
      </c>
      <c r="H255" s="3" t="n">
        <v>23724</v>
      </c>
      <c r="I255" s="3" t="n">
        <v>103059</v>
      </c>
      <c r="J255" s="4" t="n">
        <v>103.31</v>
      </c>
      <c r="K255" s="4" t="n">
        <v>103.51</v>
      </c>
      <c r="L255" s="6">
        <f>F255*(K255-J255)</f>
        <v/>
      </c>
    </row>
    <row r="256" ht="16.5" customHeight="1">
      <c r="D256" s="2" t="inlineStr">
        <is>
          <t>元太(8069) ▲9.83%</t>
        </is>
      </c>
      <c r="E256" s="3" t="n">
        <v>1222</v>
      </c>
      <c r="F256" s="3" t="n">
        <v>244</v>
      </c>
      <c r="G256" s="3" t="n">
        <v>23859</v>
      </c>
      <c r="H256" s="3" t="n">
        <v>4768</v>
      </c>
      <c r="I256" s="3" t="n">
        <v>19091</v>
      </c>
      <c r="J256" s="4" t="n">
        <v>195.24</v>
      </c>
      <c r="K256" s="4" t="n">
        <v>195.4</v>
      </c>
      <c r="L256" s="6">
        <f>F256*(K256-J256)</f>
        <v/>
      </c>
    </row>
    <row r="257" ht="16.5" customHeight="1">
      <c r="D257" s="2" t="inlineStr">
        <is>
          <t>聯亞(3081) ▲9.89%</t>
        </is>
      </c>
      <c r="E257" s="3" t="n">
        <v>64</v>
      </c>
      <c r="F257" s="3" t="n">
        <v>14</v>
      </c>
      <c r="G257" s="3" t="n">
        <v>19425</v>
      </c>
      <c r="H257" s="3" t="n">
        <v>4279</v>
      </c>
      <c r="I257" s="3" t="n">
        <v>15146</v>
      </c>
      <c r="J257" s="4" t="n">
        <v>3035.16</v>
      </c>
      <c r="K257" s="4" t="n">
        <v>3056.71</v>
      </c>
      <c r="L257" s="6">
        <f>F257*(K257-J257)</f>
        <v/>
      </c>
    </row>
    <row r="258" ht="16.5" customHeight="1">
      <c r="D258" s="2" t="inlineStr">
        <is>
          <t>大立光(3008) ▲9.82%</t>
        </is>
      </c>
      <c r="E258" s="3" t="n">
        <v>51</v>
      </c>
      <c r="F258" s="3" t="n">
        <v>12</v>
      </c>
      <c r="G258" s="3" t="n">
        <v>14352</v>
      </c>
      <c r="H258" s="3" t="n">
        <v>3301</v>
      </c>
      <c r="I258" s="3" t="n">
        <v>11051</v>
      </c>
      <c r="J258" s="4" t="n">
        <v>2814.12</v>
      </c>
      <c r="K258" s="4" t="n">
        <v>2751.08</v>
      </c>
      <c r="L258" s="5">
        <f>F258*(K258-J258)</f>
        <v/>
      </c>
    </row>
    <row r="259" ht="16.5" customHeight="1">
      <c r="D259" s="2" t="inlineStr">
        <is>
          <t>華新科(2492) ▲9.91%</t>
        </is>
      </c>
      <c r="E259" s="3" t="n">
        <v>792</v>
      </c>
      <c r="F259" s="3" t="n">
        <v>0</v>
      </c>
      <c r="G259" s="3" t="n">
        <v>14252</v>
      </c>
      <c r="H259" s="3" t="n">
        <v>0</v>
      </c>
      <c r="I259" s="3" t="n">
        <v>14252</v>
      </c>
      <c r="J259" s="4" t="n">
        <v>179.94</v>
      </c>
      <c r="K259" s="4" t="n">
        <v>0</v>
      </c>
      <c r="L259" s="6">
        <f>F259*(K259-J259)</f>
        <v/>
      </c>
    </row>
    <row r="260" ht="16.5" customHeight="1">
      <c r="D260" s="2" t="inlineStr">
        <is>
          <t>萬潤(6187) ▲9.91%</t>
        </is>
      </c>
      <c r="E260" s="3" t="n">
        <v>106</v>
      </c>
      <c r="F260" s="3" t="n">
        <v>2</v>
      </c>
      <c r="G260" s="3" t="n">
        <v>12915</v>
      </c>
      <c r="H260" s="3" t="n">
        <v>236</v>
      </c>
      <c r="I260" s="3" t="n">
        <v>12679</v>
      </c>
      <c r="J260" s="4" t="n">
        <v>1218.4</v>
      </c>
      <c r="K260" s="4" t="n">
        <v>1180</v>
      </c>
      <c r="L260" s="5">
        <f>F260*(K260-J260)</f>
        <v/>
      </c>
    </row>
    <row r="261" ht="16.5" customHeight="1">
      <c r="D261" s="2" t="inlineStr">
        <is>
          <t>國精化(4722) ▲10.0%</t>
        </is>
      </c>
      <c r="E261" s="3" t="n">
        <v>475</v>
      </c>
      <c r="F261" s="3" t="n">
        <v>15</v>
      </c>
      <c r="G261" s="3" t="n">
        <v>12263</v>
      </c>
      <c r="H261" s="3" t="n">
        <v>372</v>
      </c>
      <c r="I261" s="3" t="n">
        <v>11891</v>
      </c>
      <c r="J261" s="4" t="n">
        <v>258.18</v>
      </c>
      <c r="K261" s="4" t="n">
        <v>248.2</v>
      </c>
      <c r="L261" s="5">
        <f>F261*(K261-J261)</f>
        <v/>
      </c>
    </row>
    <row r="262" ht="16.5" customHeight="1">
      <c r="D262" s="2" t="inlineStr">
        <is>
          <t>群創(3481) ▲9.91%</t>
        </is>
      </c>
      <c r="E262" s="3" t="n">
        <v>1029</v>
      </c>
      <c r="F262" s="3" t="n">
        <v>19359</v>
      </c>
      <c r="G262" s="3" t="n">
        <v>3586</v>
      </c>
      <c r="H262" s="3" t="n">
        <v>67023</v>
      </c>
      <c r="I262" s="3" t="n">
        <v>-63437</v>
      </c>
      <c r="J262" s="4" t="n">
        <v>34.84</v>
      </c>
      <c r="K262" s="4" t="n">
        <v>34.62</v>
      </c>
      <c r="L262" s="5">
        <f>F262*(K262-J262)</f>
        <v/>
      </c>
    </row>
    <row r="263" ht="16.5" customHeight="1">
      <c r="D263" s="2" t="inlineStr">
        <is>
          <t>友達(2409) ▲9.81%</t>
        </is>
      </c>
      <c r="E263" s="3" t="n">
        <v>684</v>
      </c>
      <c r="F263" s="3" t="n">
        <v>80</v>
      </c>
      <c r="G263" s="3" t="n">
        <v>1416</v>
      </c>
      <c r="H263" s="3" t="n">
        <v>166</v>
      </c>
      <c r="I263" s="3" t="n">
        <v>1250</v>
      </c>
      <c r="J263" s="4" t="n">
        <v>20.7</v>
      </c>
      <c r="K263" s="4" t="n">
        <v>20.7</v>
      </c>
      <c r="L263" s="6">
        <f>F263*(K263-J263)</f>
        <v/>
      </c>
    </row>
    <row r="264" ht="16.5" customHeight="1">
      <c r="D264" s="2" t="inlineStr">
        <is>
          <t>愛普*(6531) ▲9.67%</t>
        </is>
      </c>
      <c r="E264" s="3" t="n">
        <v>10</v>
      </c>
      <c r="F264" s="3" t="n">
        <v>93</v>
      </c>
      <c r="G264" s="3" t="n">
        <v>1061</v>
      </c>
      <c r="H264" s="3" t="n">
        <v>9825</v>
      </c>
      <c r="I264" s="3" t="n">
        <v>-8764</v>
      </c>
      <c r="J264" s="4" t="n">
        <v>1060.7</v>
      </c>
      <c r="K264" s="4" t="n">
        <v>1056.44</v>
      </c>
      <c r="L264" s="5">
        <f>F264*(K264-J264)</f>
        <v/>
      </c>
    </row>
    <row r="265" ht="16.5" customHeight="1">
      <c r="B265" s="1" t="inlineStr">
        <is>
          <t>常下分點</t>
        </is>
      </c>
      <c r="C265" s="1" t="inlineStr">
        <is>
          <t>分點代號</t>
        </is>
      </c>
      <c r="D265" s="1" t="inlineStr">
        <is>
          <t>標的</t>
        </is>
      </c>
      <c r="E265" s="1" t="inlineStr">
        <is>
          <t>買進(張)</t>
        </is>
      </c>
      <c r="F265" s="1" t="inlineStr">
        <is>
          <t>賣出(張)</t>
        </is>
      </c>
      <c r="G265" s="1" t="inlineStr">
        <is>
          <t>買進(萬元)</t>
        </is>
      </c>
      <c r="H265" s="1" t="inlineStr">
        <is>
          <t>賣出(萬元)</t>
        </is>
      </c>
      <c r="I265" s="1" t="inlineStr">
        <is>
          <t>淨買差(萬元)</t>
        </is>
      </c>
      <c r="J265" s="1" t="inlineStr">
        <is>
          <t>買均</t>
        </is>
      </c>
      <c r="K265" s="1" t="inlineStr">
        <is>
          <t>賣均</t>
        </is>
      </c>
      <c r="L265" s="1" t="inlineStr">
        <is>
          <t>損益(萬)</t>
        </is>
      </c>
    </row>
    <row r="266" ht="16.5" customHeight="1">
      <c r="B266" s="1" t="inlineStr">
        <is>
          <t>富邦證券</t>
        </is>
      </c>
      <c r="C266" s="1" t="inlineStr">
        <is>
          <t>9600</t>
        </is>
      </c>
      <c r="D266" s="2" t="inlineStr">
        <is>
          <t>聯電(2303) ▲10.0%</t>
        </is>
      </c>
      <c r="E266" s="3" t="n">
        <v>36504</v>
      </c>
      <c r="F266" s="3" t="n">
        <v>18162</v>
      </c>
      <c r="G266" s="3" t="n">
        <v>379554</v>
      </c>
      <c r="H266" s="3" t="n">
        <v>187268</v>
      </c>
      <c r="I266" s="3" t="n">
        <v>192286</v>
      </c>
      <c r="J266" s="4" t="n">
        <v>103.98</v>
      </c>
      <c r="K266" s="4" t="n">
        <v>103.11</v>
      </c>
      <c r="L266" s="5">
        <f>F266*(K266-J266)</f>
        <v/>
      </c>
    </row>
    <row r="267" ht="16.5" customHeight="1">
      <c r="D267" s="2" t="inlineStr">
        <is>
          <t>群創(3481) ▲9.91%</t>
        </is>
      </c>
      <c r="E267" s="3" t="n">
        <v>86042</v>
      </c>
      <c r="F267" s="3" t="n">
        <v>38738</v>
      </c>
      <c r="G267" s="3" t="n">
        <v>303980</v>
      </c>
      <c r="H267" s="3" t="n">
        <v>134230</v>
      </c>
      <c r="I267" s="3" t="n">
        <v>169750</v>
      </c>
      <c r="J267" s="4" t="n">
        <v>35.33</v>
      </c>
      <c r="K267" s="4" t="n">
        <v>34.65</v>
      </c>
      <c r="L267" s="5">
        <f>F267*(K267-J267)</f>
        <v/>
      </c>
    </row>
    <row r="268" ht="16.5" customHeight="1">
      <c r="D268" s="2" t="inlineStr">
        <is>
          <t>友達(2409) ▲9.81%</t>
        </is>
      </c>
      <c r="E268" s="3" t="n">
        <v>58466</v>
      </c>
      <c r="F268" s="3" t="n">
        <v>24919</v>
      </c>
      <c r="G268" s="3" t="n">
        <v>120575</v>
      </c>
      <c r="H268" s="3" t="n">
        <v>50950</v>
      </c>
      <c r="I268" s="3" t="n">
        <v>69625</v>
      </c>
      <c r="J268" s="4" t="n">
        <v>20.62</v>
      </c>
      <c r="K268" s="4" t="n">
        <v>20.45</v>
      </c>
      <c r="L268" s="5">
        <f>F268*(K268-J268)</f>
        <v/>
      </c>
    </row>
    <row r="269" ht="16.5" customHeight="1">
      <c r="D269" s="2" t="inlineStr">
        <is>
          <t>愛普*(6531) ▲9.67%</t>
        </is>
      </c>
      <c r="E269" s="3" t="n">
        <v>861</v>
      </c>
      <c r="F269" s="3" t="n">
        <v>200</v>
      </c>
      <c r="G269" s="3" t="n">
        <v>90840</v>
      </c>
      <c r="H269" s="3" t="n">
        <v>21093</v>
      </c>
      <c r="I269" s="3" t="n">
        <v>69747</v>
      </c>
      <c r="J269" s="4" t="n">
        <v>1055.05</v>
      </c>
      <c r="K269" s="4" t="n">
        <v>1054.66</v>
      </c>
      <c r="L269" s="5">
        <f>F269*(K269-J269)</f>
        <v/>
      </c>
    </row>
    <row r="270" ht="16.5" customHeight="1">
      <c r="D270" s="2" t="inlineStr">
        <is>
          <t>聯亞(3081) ▲9.89%</t>
        </is>
      </c>
      <c r="E270" s="3" t="n">
        <v>267</v>
      </c>
      <c r="F270" s="3" t="n">
        <v>113</v>
      </c>
      <c r="G270" s="3" t="n">
        <v>81646</v>
      </c>
      <c r="H270" s="3" t="n">
        <v>34652</v>
      </c>
      <c r="I270" s="3" t="n">
        <v>46994</v>
      </c>
      <c r="J270" s="4" t="n">
        <v>3057.88</v>
      </c>
      <c r="K270" s="4" t="n">
        <v>3066.59</v>
      </c>
      <c r="L270" s="6">
        <f>F270*(K270-J270)</f>
        <v/>
      </c>
    </row>
    <row r="271" ht="16.5" customHeight="1">
      <c r="D271" s="2" t="inlineStr">
        <is>
          <t>元太(8069) ▲9.83%</t>
        </is>
      </c>
      <c r="E271" s="3" t="n">
        <v>4115</v>
      </c>
      <c r="F271" s="3" t="n">
        <v>2264</v>
      </c>
      <c r="G271" s="3" t="n">
        <v>80426</v>
      </c>
      <c r="H271" s="3" t="n">
        <v>44253</v>
      </c>
      <c r="I271" s="3" t="n">
        <v>36173</v>
      </c>
      <c r="J271" s="4" t="n">
        <v>195.45</v>
      </c>
      <c r="K271" s="4" t="n">
        <v>195.47</v>
      </c>
      <c r="L271" s="6">
        <f>F271*(K271-J271)</f>
        <v/>
      </c>
    </row>
    <row r="272" ht="16.5" customHeight="1">
      <c r="D272" s="2" t="inlineStr">
        <is>
          <t>眾達-KY(4977) ▲9.96%</t>
        </is>
      </c>
      <c r="E272" s="3" t="n">
        <v>1739</v>
      </c>
      <c r="F272" s="3" t="n">
        <v>67</v>
      </c>
      <c r="G272" s="3" t="n">
        <v>46754</v>
      </c>
      <c r="H272" s="3" t="n">
        <v>1702</v>
      </c>
      <c r="I272" s="3" t="n">
        <v>45052</v>
      </c>
      <c r="J272" s="4" t="n">
        <v>268.86</v>
      </c>
      <c r="K272" s="4" t="n">
        <v>253.99</v>
      </c>
      <c r="L272" s="5">
        <f>F272*(K272-J272)</f>
        <v/>
      </c>
    </row>
    <row r="273" ht="16.5" customHeight="1">
      <c r="D273" s="2" t="inlineStr">
        <is>
          <t>祥碩(5269) ▲9.71%</t>
        </is>
      </c>
      <c r="E273" s="3" t="n">
        <v>255</v>
      </c>
      <c r="F273" s="3" t="n">
        <v>119</v>
      </c>
      <c r="G273" s="3" t="n">
        <v>38904</v>
      </c>
      <c r="H273" s="3" t="n">
        <v>18126</v>
      </c>
      <c r="I273" s="3" t="n">
        <v>20778</v>
      </c>
      <c r="J273" s="4" t="n">
        <v>1525.63</v>
      </c>
      <c r="K273" s="4" t="n">
        <v>1523.19</v>
      </c>
      <c r="L273" s="5">
        <f>F273*(K273-J273)</f>
        <v/>
      </c>
    </row>
    <row r="274" ht="16.5" customHeight="1">
      <c r="D274" s="2" t="inlineStr">
        <is>
          <t>聯鈞(3450) ▲9.93%</t>
        </is>
      </c>
      <c r="E274" s="3" t="n">
        <v>725</v>
      </c>
      <c r="F274" s="3" t="n">
        <v>342</v>
      </c>
      <c r="G274" s="3" t="n">
        <v>34109</v>
      </c>
      <c r="H274" s="3" t="n">
        <v>16098</v>
      </c>
      <c r="I274" s="3" t="n">
        <v>18011</v>
      </c>
      <c r="J274" s="4" t="n">
        <v>470.47</v>
      </c>
      <c r="K274" s="4" t="n">
        <v>470.71</v>
      </c>
      <c r="L274" s="6">
        <f>F274*(K274-J274)</f>
        <v/>
      </c>
    </row>
    <row r="275" ht="16.5" customHeight="1">
      <c r="D275" s="2" t="inlineStr">
        <is>
          <t>昇貿(3305) ▲9.83%</t>
        </is>
      </c>
      <c r="E275" s="3" t="n">
        <v>2649</v>
      </c>
      <c r="F275" s="3" t="n">
        <v>639</v>
      </c>
      <c r="G275" s="3" t="n">
        <v>33963</v>
      </c>
      <c r="H275" s="3" t="n">
        <v>8179</v>
      </c>
      <c r="I275" s="3" t="n">
        <v>25784</v>
      </c>
      <c r="J275" s="4" t="n">
        <v>128.21</v>
      </c>
      <c r="K275" s="4" t="n">
        <v>127.99</v>
      </c>
      <c r="L275" s="5">
        <f>F275*(K275-J275)</f>
        <v/>
      </c>
    </row>
    <row r="276" ht="16.5" customHeight="1">
      <c r="A276" s="1" t="inlineStr">
        <is>
          <t>高手</t>
        </is>
      </c>
      <c r="B276" s="1" t="inlineStr">
        <is>
          <t>常下分點</t>
        </is>
      </c>
      <c r="C276" s="1" t="inlineStr">
        <is>
          <t>分點代號</t>
        </is>
      </c>
      <c r="D276" s="1" t="inlineStr">
        <is>
          <t>標的</t>
        </is>
      </c>
      <c r="E276" s="1" t="inlineStr">
        <is>
          <t>買進(張)</t>
        </is>
      </c>
      <c r="F276" s="1" t="inlineStr">
        <is>
          <t>賣出(張)</t>
        </is>
      </c>
      <c r="G276" s="1" t="inlineStr">
        <is>
          <t>買進(萬元)</t>
        </is>
      </c>
      <c r="H276" s="1" t="inlineStr">
        <is>
          <t>賣出(萬元)</t>
        </is>
      </c>
      <c r="I276" s="1" t="inlineStr">
        <is>
          <t>淨買差(萬元)</t>
        </is>
      </c>
      <c r="J276" s="1" t="inlineStr">
        <is>
          <t>買均</t>
        </is>
      </c>
      <c r="K276" s="1" t="inlineStr">
        <is>
          <t>賣均</t>
        </is>
      </c>
      <c r="L276" s="1" t="inlineStr">
        <is>
          <t>損益(萬)</t>
        </is>
      </c>
    </row>
    <row r="277" ht="16.5" customHeight="1">
      <c r="A277" s="1" t="inlineStr">
        <is>
          <t>布哥/n_nchang</t>
        </is>
      </c>
      <c r="B277" s="1" t="inlineStr">
        <is>
          <t>永豐金-敦南</t>
        </is>
      </c>
      <c r="C277" s="1" t="inlineStr">
        <is>
          <t>9A8F</t>
        </is>
      </c>
      <c r="D277" s="2" t="inlineStr">
        <is>
          <t>健策(3653)</t>
        </is>
      </c>
      <c r="E277" s="3" t="n">
        <v>58</v>
      </c>
      <c r="F277" s="3" t="n">
        <v>29</v>
      </c>
      <c r="G277" s="3" t="n">
        <v>22596</v>
      </c>
      <c r="H277" s="3" t="n">
        <v>11180</v>
      </c>
      <c r="I277" s="3" t="n">
        <v>11416</v>
      </c>
      <c r="J277" s="4" t="n">
        <v>3895.93</v>
      </c>
      <c r="K277" s="4" t="n">
        <v>3855.24</v>
      </c>
      <c r="L277" s="5">
        <f>F277*(K277-J277)</f>
        <v/>
      </c>
    </row>
    <row r="278" ht="16.5" customHeight="1">
      <c r="D278" s="2" t="inlineStr">
        <is>
          <t>群聯(8299)</t>
        </is>
      </c>
      <c r="E278" s="3" t="n">
        <v>43</v>
      </c>
      <c r="F278" s="3" t="n">
        <v>32</v>
      </c>
      <c r="G278" s="3" t="n">
        <v>11619</v>
      </c>
      <c r="H278" s="3" t="n">
        <v>8802</v>
      </c>
      <c r="I278" s="3" t="n">
        <v>2817</v>
      </c>
      <c r="J278" s="4" t="n">
        <v>2702.09</v>
      </c>
      <c r="K278" s="4" t="n">
        <v>2750.69</v>
      </c>
      <c r="L278" s="6">
        <f>F278*(K278-J278)</f>
        <v/>
      </c>
    </row>
    <row r="279" ht="16.5" customHeight="1">
      <c r="D279" s="2" t="inlineStr">
        <is>
          <t>譜瑞-KY(4966)</t>
        </is>
      </c>
      <c r="E279" s="3" t="n">
        <v>129</v>
      </c>
      <c r="F279" s="3" t="n">
        <v>33</v>
      </c>
      <c r="G279" s="3" t="n">
        <v>9919</v>
      </c>
      <c r="H279" s="3" t="n">
        <v>2430</v>
      </c>
      <c r="I279" s="3" t="n">
        <v>7489</v>
      </c>
      <c r="J279" s="4" t="n">
        <v>768.9400000000001</v>
      </c>
      <c r="K279" s="4" t="n">
        <v>736.3</v>
      </c>
      <c r="L279" s="5">
        <f>F279*(K279-J279)</f>
        <v/>
      </c>
    </row>
    <row r="280" ht="16.5" customHeight="1">
      <c r="D280" s="2" t="inlineStr">
        <is>
          <t>南亞科(2408)</t>
        </is>
      </c>
      <c r="E280" s="3" t="n">
        <v>288</v>
      </c>
      <c r="F280" s="3" t="n">
        <v>218</v>
      </c>
      <c r="G280" s="3" t="n">
        <v>8947</v>
      </c>
      <c r="H280" s="3" t="n">
        <v>6870</v>
      </c>
      <c r="I280" s="3" t="n">
        <v>2077</v>
      </c>
      <c r="J280" s="4" t="n">
        <v>310.67</v>
      </c>
      <c r="K280" s="4" t="n">
        <v>315.12</v>
      </c>
      <c r="L280" s="6">
        <f>F280*(K280-J280)</f>
        <v/>
      </c>
    </row>
    <row r="281" ht="16.5" customHeight="1">
      <c r="D281" s="2" t="inlineStr">
        <is>
          <t>穩懋(3105)</t>
        </is>
      </c>
      <c r="E281" s="3" t="n">
        <v>160</v>
      </c>
      <c r="F281" s="3" t="n">
        <v>126</v>
      </c>
      <c r="G281" s="3" t="n">
        <v>8177</v>
      </c>
      <c r="H281" s="3" t="n">
        <v>6473</v>
      </c>
      <c r="I281" s="3" t="n">
        <v>1704</v>
      </c>
      <c r="J281" s="4" t="n">
        <v>511.08</v>
      </c>
      <c r="K281" s="4" t="n">
        <v>513.71</v>
      </c>
      <c r="L281" s="6">
        <f>F281*(K281-J281)</f>
        <v/>
      </c>
    </row>
    <row r="282" ht="16.5" customHeight="1">
      <c r="D282" s="2" t="inlineStr">
        <is>
          <t>主動統一升級50(00403A)</t>
        </is>
      </c>
      <c r="E282" s="3" t="n">
        <v>6681</v>
      </c>
      <c r="F282" s="3" t="n">
        <v>3992</v>
      </c>
      <c r="G282" s="3" t="n">
        <v>7182</v>
      </c>
      <c r="H282" s="3" t="n">
        <v>4295</v>
      </c>
      <c r="I282" s="3" t="n">
        <v>2887</v>
      </c>
      <c r="J282" s="4" t="n">
        <v>10.75</v>
      </c>
      <c r="K282" s="4" t="n">
        <v>10.76</v>
      </c>
      <c r="L282" s="6">
        <f>F282*(K282-J282)</f>
        <v/>
      </c>
    </row>
    <row r="283" ht="16.5" customHeight="1">
      <c r="D283" s="2" t="inlineStr">
        <is>
          <t>長興(1717)</t>
        </is>
      </c>
      <c r="E283" s="3" t="n">
        <v>838</v>
      </c>
      <c r="F283" s="3" t="n">
        <v>496</v>
      </c>
      <c r="G283" s="3" t="n">
        <v>6978</v>
      </c>
      <c r="H283" s="3" t="n">
        <v>4168</v>
      </c>
      <c r="I283" s="3" t="n">
        <v>2810</v>
      </c>
      <c r="J283" s="4" t="n">
        <v>83.27</v>
      </c>
      <c r="K283" s="4" t="n">
        <v>84.02</v>
      </c>
      <c r="L283" s="6">
        <f>F283*(K283-J283)</f>
        <v/>
      </c>
    </row>
    <row r="284" ht="16.5" customHeight="1">
      <c r="D284" s="2" t="inlineStr">
        <is>
          <t>潤泰新(9945)</t>
        </is>
      </c>
      <c r="E284" s="3" t="n">
        <v>2275</v>
      </c>
      <c r="F284" s="3" t="n">
        <v>0</v>
      </c>
      <c r="G284" s="3" t="n">
        <v>5388</v>
      </c>
      <c r="H284" s="3" t="n">
        <v>0</v>
      </c>
      <c r="I284" s="3" t="n">
        <v>5388</v>
      </c>
      <c r="J284" s="4" t="n">
        <v>23.68</v>
      </c>
      <c r="K284" s="4" t="n">
        <v>0</v>
      </c>
      <c r="L284" s="6">
        <f>F284*(K284-J284)</f>
        <v/>
      </c>
    </row>
    <row r="285" ht="16.5" customHeight="1">
      <c r="D285" s="2" t="inlineStr">
        <is>
          <t>光聖(6442)</t>
        </is>
      </c>
      <c r="E285" s="3" t="n">
        <v>21</v>
      </c>
      <c r="F285" s="3" t="n">
        <v>12</v>
      </c>
      <c r="G285" s="3" t="n">
        <v>4017</v>
      </c>
      <c r="H285" s="3" t="n">
        <v>2249</v>
      </c>
      <c r="I285" s="3" t="n">
        <v>1768</v>
      </c>
      <c r="J285" s="4" t="n">
        <v>1913.05</v>
      </c>
      <c r="K285" s="4" t="n">
        <v>1874.42</v>
      </c>
      <c r="L285" s="5">
        <f>F285*(K285-J285)</f>
        <v/>
      </c>
    </row>
    <row r="286" ht="16.5" customHeight="1">
      <c r="D286" s="2" t="inlineStr">
        <is>
          <t>昇陽半導體(8028)</t>
        </is>
      </c>
      <c r="E286" s="3" t="n">
        <v>150</v>
      </c>
      <c r="F286" s="3" t="n">
        <v>55</v>
      </c>
      <c r="G286" s="3" t="n">
        <v>3754</v>
      </c>
      <c r="H286" s="3" t="n">
        <v>1340</v>
      </c>
      <c r="I286" s="3" t="n">
        <v>2414</v>
      </c>
      <c r="J286" s="4" t="n">
        <v>250.23</v>
      </c>
      <c r="K286" s="4" t="n">
        <v>243.58</v>
      </c>
      <c r="L286" s="5">
        <f>F286*(K286-J286)</f>
        <v/>
      </c>
    </row>
    <row r="287" ht="16.5" customHeight="1">
      <c r="A287" s="1" t="inlineStr">
        <is>
          <t>高手</t>
        </is>
      </c>
      <c r="B287" s="1" t="inlineStr">
        <is>
          <t>分點</t>
        </is>
      </c>
      <c r="C287" s="1" t="inlineStr">
        <is>
          <t>代號</t>
        </is>
      </c>
      <c r="D287" s="1" t="inlineStr">
        <is>
          <t>標的</t>
        </is>
      </c>
      <c r="E287" s="1" t="inlineStr">
        <is>
          <t>買進(張)</t>
        </is>
      </c>
      <c r="F287" s="1" t="inlineStr">
        <is>
          <t>賣出(張)</t>
        </is>
      </c>
      <c r="G287" s="1" t="inlineStr">
        <is>
          <t>買進(萬元)</t>
        </is>
      </c>
      <c r="H287" s="1" t="inlineStr">
        <is>
          <t>賣出(萬元)</t>
        </is>
      </c>
      <c r="I287" s="1" t="inlineStr">
        <is>
          <t>淨買差(萬元)</t>
        </is>
      </c>
      <c r="J287" s="1" t="inlineStr">
        <is>
          <t>買均</t>
        </is>
      </c>
      <c r="K287" s="1" t="inlineStr">
        <is>
          <t>賣均</t>
        </is>
      </c>
      <c r="L287" s="1" t="inlineStr">
        <is>
          <t>損益(萬)</t>
        </is>
      </c>
    </row>
    <row r="288" ht="16.5" customHeight="1">
      <c r="A288" s="1" t="inlineStr">
        <is>
          <t>強森</t>
        </is>
      </c>
      <c r="B288" s="1" t="inlineStr">
        <is>
          <t>台新-五權西</t>
        </is>
      </c>
      <c r="C288" s="1" t="inlineStr">
        <is>
          <t>9B25</t>
        </is>
      </c>
      <c r="D288" s="2" t="inlineStr">
        <is>
          <t>南亞科(2408)</t>
        </is>
      </c>
      <c r="E288" s="3" t="n">
        <v>556</v>
      </c>
      <c r="F288" s="3" t="n">
        <v>514</v>
      </c>
      <c r="G288" s="3" t="n">
        <v>17495</v>
      </c>
      <c r="H288" s="3" t="n">
        <v>16124</v>
      </c>
      <c r="I288" s="3" t="n">
        <v>1371</v>
      </c>
      <c r="J288" s="4" t="n">
        <v>314.65</v>
      </c>
      <c r="K288" s="4" t="n">
        <v>313.7</v>
      </c>
      <c r="L288" s="5">
        <f>F288*(K288-J288)</f>
        <v/>
      </c>
    </row>
    <row r="289" ht="16.5" customHeight="1">
      <c r="D289" s="2" t="inlineStr">
        <is>
          <t>聯電(2303)</t>
        </is>
      </c>
      <c r="E289" s="3" t="n">
        <v>1106</v>
      </c>
      <c r="F289" s="3" t="n">
        <v>186</v>
      </c>
      <c r="G289" s="3" t="n">
        <v>10959</v>
      </c>
      <c r="H289" s="3" t="n">
        <v>1891</v>
      </c>
      <c r="I289" s="3" t="n">
        <v>9068</v>
      </c>
      <c r="J289" s="4" t="n">
        <v>99.09</v>
      </c>
      <c r="K289" s="4" t="n">
        <v>101.69</v>
      </c>
      <c r="L289" s="6">
        <f>F289*(K289-J289)</f>
        <v/>
      </c>
    </row>
    <row r="290" ht="16.5" customHeight="1">
      <c r="D290" s="2" t="inlineStr">
        <is>
          <t>群聯(8299)</t>
        </is>
      </c>
      <c r="E290" s="3" t="n">
        <v>39</v>
      </c>
      <c r="F290" s="3" t="n">
        <v>8</v>
      </c>
      <c r="G290" s="3" t="n">
        <v>10499</v>
      </c>
      <c r="H290" s="3" t="n">
        <v>2067</v>
      </c>
      <c r="I290" s="3" t="n">
        <v>8432</v>
      </c>
      <c r="J290" s="4" t="n">
        <v>2692.08</v>
      </c>
      <c r="K290" s="4" t="n">
        <v>2584.25</v>
      </c>
      <c r="L290" s="5">
        <f>F290*(K290-J290)</f>
        <v/>
      </c>
    </row>
    <row r="291" ht="16.5" customHeight="1">
      <c r="D291" s="2" t="inlineStr">
        <is>
          <t>國巨*(2327)</t>
        </is>
      </c>
      <c r="E291" s="3" t="n">
        <v>152</v>
      </c>
      <c r="F291" s="3" t="n">
        <v>58</v>
      </c>
      <c r="G291" s="3" t="n">
        <v>6166</v>
      </c>
      <c r="H291" s="3" t="n">
        <v>2396</v>
      </c>
      <c r="I291" s="3" t="n">
        <v>3770</v>
      </c>
      <c r="J291" s="4" t="n">
        <v>405.68</v>
      </c>
      <c r="K291" s="4" t="n">
        <v>413.19</v>
      </c>
      <c r="L291" s="6">
        <f>F291*(K291-J291)</f>
        <v/>
      </c>
    </row>
    <row r="292" ht="16.5" customHeight="1">
      <c r="D292" s="2" t="inlineStr">
        <is>
          <t>群創(3481)</t>
        </is>
      </c>
      <c r="E292" s="3" t="n">
        <v>1689</v>
      </c>
      <c r="F292" s="3" t="n">
        <v>1367</v>
      </c>
      <c r="G292" s="3" t="n">
        <v>5949</v>
      </c>
      <c r="H292" s="3" t="n">
        <v>4754</v>
      </c>
      <c r="I292" s="3" t="n">
        <v>1195</v>
      </c>
      <c r="J292" s="4" t="n">
        <v>35.22</v>
      </c>
      <c r="K292" s="4" t="n">
        <v>34.78</v>
      </c>
      <c r="L292" s="5">
        <f>F292*(K292-J292)</f>
        <v/>
      </c>
    </row>
    <row r="293" ht="16.5" customHeight="1">
      <c r="D293" s="2" t="inlineStr">
        <is>
          <t>聯發科(2454)</t>
        </is>
      </c>
      <c r="E293" s="3" t="n">
        <v>14</v>
      </c>
      <c r="F293" s="3" t="n">
        <v>16</v>
      </c>
      <c r="G293" s="3" t="n">
        <v>5344</v>
      </c>
      <c r="H293" s="3" t="n">
        <v>6003</v>
      </c>
      <c r="I293" s="3" t="n">
        <v>-659</v>
      </c>
      <c r="J293" s="4" t="n">
        <v>3817.43</v>
      </c>
      <c r="K293" s="4" t="n">
        <v>3751.69</v>
      </c>
      <c r="L293" s="5">
        <f>F293*(K293-J293)</f>
        <v/>
      </c>
    </row>
    <row r="294" ht="16.5" customHeight="1">
      <c r="D294" s="2" t="inlineStr">
        <is>
          <t>主動統一升級50(00403A)</t>
        </is>
      </c>
      <c r="E294" s="3" t="n">
        <v>3332</v>
      </c>
      <c r="F294" s="3" t="n">
        <v>366</v>
      </c>
      <c r="G294" s="3" t="n">
        <v>3579</v>
      </c>
      <c r="H294" s="3" t="n">
        <v>393</v>
      </c>
      <c r="I294" s="3" t="n">
        <v>3186</v>
      </c>
      <c r="J294" s="4" t="n">
        <v>10.74</v>
      </c>
      <c r="K294" s="4" t="n">
        <v>10.73</v>
      </c>
      <c r="L294" s="5">
        <f>F294*(K294-J294)</f>
        <v/>
      </c>
    </row>
    <row r="295" ht="16.5" customHeight="1">
      <c r="D295" s="2" t="inlineStr">
        <is>
          <t>穩懋(3105)</t>
        </is>
      </c>
      <c r="E295" s="3" t="n">
        <v>69</v>
      </c>
      <c r="F295" s="3" t="n">
        <v>60</v>
      </c>
      <c r="G295" s="3" t="n">
        <v>3533</v>
      </c>
      <c r="H295" s="3" t="n">
        <v>3095</v>
      </c>
      <c r="I295" s="3" t="n">
        <v>438</v>
      </c>
      <c r="J295" s="4" t="n">
        <v>512.03</v>
      </c>
      <c r="K295" s="4" t="n">
        <v>515.8</v>
      </c>
      <c r="L295" s="6">
        <f>F295*(K295-J295)</f>
        <v/>
      </c>
    </row>
    <row r="296" ht="16.5" customHeight="1">
      <c r="D296" s="2" t="inlineStr">
        <is>
          <t>啟��(6285)</t>
        </is>
      </c>
      <c r="E296" s="3" t="n">
        <v>123</v>
      </c>
      <c r="F296" s="3" t="n">
        <v>31</v>
      </c>
      <c r="G296" s="3" t="n">
        <v>3412</v>
      </c>
      <c r="H296" s="3" t="n">
        <v>852</v>
      </c>
      <c r="I296" s="3" t="n">
        <v>2560</v>
      </c>
      <c r="J296" s="4" t="n">
        <v>277.38</v>
      </c>
      <c r="K296" s="4" t="n">
        <v>274.71</v>
      </c>
      <c r="L296" s="5">
        <f>F296*(K296-J296)</f>
        <v/>
      </c>
    </row>
    <row r="297" ht="16.5" customHeight="1">
      <c r="D297" s="2" t="inlineStr">
        <is>
          <t>眾達-KY(4977)</t>
        </is>
      </c>
      <c r="E297" s="3" t="n">
        <v>106</v>
      </c>
      <c r="F297" s="3" t="n">
        <v>2</v>
      </c>
      <c r="G297" s="3" t="n">
        <v>2848</v>
      </c>
      <c r="H297" s="3" t="n">
        <v>48</v>
      </c>
      <c r="I297" s="3" t="n">
        <v>2800</v>
      </c>
      <c r="J297" s="4" t="n">
        <v>268.73</v>
      </c>
      <c r="K297" s="4" t="n">
        <v>241</v>
      </c>
      <c r="L297" s="5">
        <f>F297*(K297-J297)</f>
        <v/>
      </c>
    </row>
    <row r="298" ht="16.5" customHeight="1">
      <c r="B298" s="1" t="inlineStr">
        <is>
          <t>分點</t>
        </is>
      </c>
      <c r="C298" s="1" t="inlineStr">
        <is>
          <t>代號</t>
        </is>
      </c>
      <c r="D298" s="1" t="inlineStr">
        <is>
          <t>標的</t>
        </is>
      </c>
      <c r="E298" s="1" t="inlineStr">
        <is>
          <t>買進(張)</t>
        </is>
      </c>
      <c r="F298" s="1" t="inlineStr">
        <is>
          <t>賣出(張)</t>
        </is>
      </c>
      <c r="G298" s="1" t="inlineStr">
        <is>
          <t>買進(萬元)</t>
        </is>
      </c>
      <c r="H298" s="1" t="inlineStr">
        <is>
          <t>賣出(萬元)</t>
        </is>
      </c>
      <c r="I298" s="1" t="inlineStr">
        <is>
          <t>淨買差(萬元)</t>
        </is>
      </c>
      <c r="J298" s="1" t="inlineStr">
        <is>
          <t>買均</t>
        </is>
      </c>
      <c r="K298" s="1" t="inlineStr">
        <is>
          <t>賣均</t>
        </is>
      </c>
      <c r="L298" s="1" t="inlineStr">
        <is>
          <t>損益(萬)</t>
        </is>
      </c>
    </row>
    <row r="299" ht="16.5" customHeight="1">
      <c r="B299" s="1" t="inlineStr">
        <is>
          <t>台新-城中</t>
        </is>
      </c>
      <c r="C299" s="1" t="inlineStr">
        <is>
          <t>9B2E</t>
        </is>
      </c>
      <c r="D299" s="2" t="inlineStr">
        <is>
          <t>群聯(8299)</t>
        </is>
      </c>
      <c r="E299" s="3" t="n">
        <v>30</v>
      </c>
      <c r="F299" s="3" t="n">
        <v>19</v>
      </c>
      <c r="G299" s="3" t="n">
        <v>8193</v>
      </c>
      <c r="H299" s="3" t="n">
        <v>5118</v>
      </c>
      <c r="I299" s="3" t="n">
        <v>3075</v>
      </c>
      <c r="J299" s="4" t="n">
        <v>2730.97</v>
      </c>
      <c r="K299" s="4" t="n">
        <v>2693.47</v>
      </c>
      <c r="L299" s="5">
        <f>F299*(K299-J299)</f>
        <v/>
      </c>
    </row>
    <row r="300" ht="16.5" customHeight="1">
      <c r="D300" s="2" t="inlineStr">
        <is>
          <t>台積電(2330)</t>
        </is>
      </c>
      <c r="E300" s="3" t="n">
        <v>25</v>
      </c>
      <c r="F300" s="3" t="n">
        <v>10</v>
      </c>
      <c r="G300" s="3" t="n">
        <v>5548</v>
      </c>
      <c r="H300" s="3" t="n">
        <v>2332</v>
      </c>
      <c r="I300" s="3" t="n">
        <v>3216</v>
      </c>
      <c r="J300" s="4" t="n">
        <v>2219.12</v>
      </c>
      <c r="K300" s="4" t="n">
        <v>2332.2</v>
      </c>
      <c r="L300" s="6">
        <f>F300*(K300-J300)</f>
        <v/>
      </c>
    </row>
    <row r="301" ht="16.5" customHeight="1">
      <c r="D301" s="2" t="inlineStr">
        <is>
          <t>聯發科(2454)</t>
        </is>
      </c>
      <c r="E301" s="3" t="n">
        <v>13</v>
      </c>
      <c r="F301" s="3" t="n">
        <v>1</v>
      </c>
      <c r="G301" s="3" t="n">
        <v>4841</v>
      </c>
      <c r="H301" s="3" t="n">
        <v>159</v>
      </c>
      <c r="I301" s="3" t="n">
        <v>4682</v>
      </c>
      <c r="J301" s="4" t="n">
        <v>3723.62</v>
      </c>
      <c r="K301" s="4" t="n">
        <v>1592</v>
      </c>
      <c r="L301" s="5">
        <f>F301*(K301-J301)</f>
        <v/>
      </c>
    </row>
    <row r="302" ht="16.5" customHeight="1">
      <c r="D302" s="2" t="inlineStr">
        <is>
          <t>創意(3443)</t>
        </is>
      </c>
      <c r="E302" s="3" t="n">
        <v>7</v>
      </c>
      <c r="F302" s="3" t="n">
        <v>4</v>
      </c>
      <c r="G302" s="3" t="n">
        <v>4094</v>
      </c>
      <c r="H302" s="3" t="n">
        <v>2262</v>
      </c>
      <c r="I302" s="3" t="n">
        <v>1832</v>
      </c>
      <c r="J302" s="4" t="n">
        <v>5848.71</v>
      </c>
      <c r="K302" s="4" t="n">
        <v>5656.25</v>
      </c>
      <c r="L302" s="5">
        <f>F302*(K302-J302)</f>
        <v/>
      </c>
    </row>
    <row r="303" ht="16.5" customHeight="1">
      <c r="D303" s="2" t="inlineStr">
        <is>
          <t>主動統一升級50(00403A)</t>
        </is>
      </c>
      <c r="E303" s="3" t="n">
        <v>3238</v>
      </c>
      <c r="F303" s="3" t="n">
        <v>707</v>
      </c>
      <c r="G303" s="3" t="n">
        <v>3474</v>
      </c>
      <c r="H303" s="3" t="n">
        <v>758</v>
      </c>
      <c r="I303" s="3" t="n">
        <v>2716</v>
      </c>
      <c r="J303" s="4" t="n">
        <v>10.73</v>
      </c>
      <c r="K303" s="4" t="n">
        <v>10.72</v>
      </c>
      <c r="L303" s="5">
        <f>F303*(K303-J303)</f>
        <v/>
      </c>
    </row>
    <row r="304" ht="16.5" customHeight="1">
      <c r="D304" s="2" t="inlineStr">
        <is>
          <t>緯穎(6669)</t>
        </is>
      </c>
      <c r="E304" s="3" t="n">
        <v>4</v>
      </c>
      <c r="F304" s="3" t="n">
        <v>3</v>
      </c>
      <c r="G304" s="3" t="n">
        <v>2289</v>
      </c>
      <c r="H304" s="3" t="n">
        <v>1837</v>
      </c>
      <c r="I304" s="3" t="n">
        <v>452</v>
      </c>
      <c r="J304" s="4" t="n">
        <v>5723.25</v>
      </c>
      <c r="K304" s="4" t="n">
        <v>6124</v>
      </c>
      <c r="L304" s="6">
        <f>F304*(K304-J304)</f>
        <v/>
      </c>
    </row>
    <row r="305" ht="16.5" customHeight="1">
      <c r="D305" s="2" t="inlineStr">
        <is>
          <t>力旺(3529)</t>
        </is>
      </c>
      <c r="E305" s="3" t="n">
        <v>5</v>
      </c>
      <c r="F305" s="3" t="n">
        <v>1</v>
      </c>
      <c r="G305" s="3" t="n">
        <v>2133</v>
      </c>
      <c r="H305" s="3" t="n">
        <v>2</v>
      </c>
      <c r="I305" s="3" t="n">
        <v>2131</v>
      </c>
      <c r="J305" s="4" t="n">
        <v>4266.8</v>
      </c>
      <c r="K305" s="4" t="n">
        <v>25</v>
      </c>
      <c r="L305" s="5">
        <f>F305*(K305-J305)</f>
        <v/>
      </c>
    </row>
    <row r="306" ht="16.5" customHeight="1">
      <c r="D306" s="2" t="inlineStr">
        <is>
          <t>國巨*(2327)</t>
        </is>
      </c>
      <c r="E306" s="3" t="n">
        <v>50</v>
      </c>
      <c r="F306" s="3" t="n">
        <v>42</v>
      </c>
      <c r="G306" s="3" t="n">
        <v>2090</v>
      </c>
      <c r="H306" s="3" t="n">
        <v>1751</v>
      </c>
      <c r="I306" s="3" t="n">
        <v>339</v>
      </c>
      <c r="J306" s="4" t="n">
        <v>417.9</v>
      </c>
      <c r="K306" s="4" t="n">
        <v>416.9</v>
      </c>
      <c r="L306" s="5">
        <f>F306*(K306-J306)</f>
        <v/>
      </c>
    </row>
    <row r="307" ht="16.5" customHeight="1">
      <c r="D307" s="2" t="inlineStr">
        <is>
          <t>健策(3653)</t>
        </is>
      </c>
      <c r="E307" s="3" t="n">
        <v>5</v>
      </c>
      <c r="F307" s="3" t="n">
        <v>2</v>
      </c>
      <c r="G307" s="3" t="n">
        <v>2059</v>
      </c>
      <c r="H307" s="3" t="n">
        <v>819</v>
      </c>
      <c r="I307" s="3" t="n">
        <v>1240</v>
      </c>
      <c r="J307" s="4" t="n">
        <v>4118.8</v>
      </c>
      <c r="K307" s="4" t="n">
        <v>4095</v>
      </c>
      <c r="L307" s="5">
        <f>F307*(K307-J307)</f>
        <v/>
      </c>
    </row>
    <row r="308" ht="16.5" customHeight="1">
      <c r="D308" s="2" t="inlineStr">
        <is>
          <t>南亞科(2408)</t>
        </is>
      </c>
      <c r="E308" s="3" t="n">
        <v>61</v>
      </c>
      <c r="F308" s="3" t="n">
        <v>95</v>
      </c>
      <c r="G308" s="3" t="n">
        <v>1913</v>
      </c>
      <c r="H308" s="3" t="n">
        <v>2950</v>
      </c>
      <c r="I308" s="3" t="n">
        <v>-1037</v>
      </c>
      <c r="J308" s="4" t="n">
        <v>313.57</v>
      </c>
      <c r="K308" s="4" t="n">
        <v>310.51</v>
      </c>
      <c r="L308" s="5">
        <f>F308*(K308-J308)</f>
        <v/>
      </c>
    </row>
    <row r="309" ht="16.5" customHeight="1">
      <c r="B309" s="1" t="inlineStr">
        <is>
          <t>分點</t>
        </is>
      </c>
      <c r="C309" s="1" t="inlineStr">
        <is>
          <t>代號</t>
        </is>
      </c>
      <c r="D309" s="1" t="inlineStr">
        <is>
          <t>標的</t>
        </is>
      </c>
      <c r="E309" s="1" t="inlineStr">
        <is>
          <t>買進(張)</t>
        </is>
      </c>
      <c r="F309" s="1" t="inlineStr">
        <is>
          <t>賣出(張)</t>
        </is>
      </c>
      <c r="G309" s="1" t="inlineStr">
        <is>
          <t>買進(萬元)</t>
        </is>
      </c>
      <c r="H309" s="1" t="inlineStr">
        <is>
          <t>賣出(萬元)</t>
        </is>
      </c>
      <c r="I309" s="1" t="inlineStr">
        <is>
          <t>淨買差(萬元)</t>
        </is>
      </c>
      <c r="J309" s="1" t="inlineStr">
        <is>
          <t>買均</t>
        </is>
      </c>
      <c r="K309" s="1" t="inlineStr">
        <is>
          <t>賣均</t>
        </is>
      </c>
      <c r="L309" s="1" t="inlineStr">
        <is>
          <t>損益(萬)</t>
        </is>
      </c>
    </row>
    <row r="310" ht="16.5" customHeight="1">
      <c r="B310" s="1" t="inlineStr">
        <is>
          <t>台新-城東</t>
        </is>
      </c>
      <c r="C310" s="1" t="inlineStr">
        <is>
          <t>9B2r</t>
        </is>
      </c>
      <c r="D310" s="2" t="inlineStr">
        <is>
          <t>群聯(8299)</t>
        </is>
      </c>
      <c r="E310" s="3" t="n">
        <v>38</v>
      </c>
      <c r="F310" s="3" t="n">
        <v>19</v>
      </c>
      <c r="G310" s="3" t="n">
        <v>10450</v>
      </c>
      <c r="H310" s="3" t="n">
        <v>5061</v>
      </c>
      <c r="I310" s="3" t="n">
        <v>5389</v>
      </c>
      <c r="J310" s="4" t="n">
        <v>2750.03</v>
      </c>
      <c r="K310" s="4" t="n">
        <v>2663.53</v>
      </c>
      <c r="L310" s="5">
        <f>F310*(K310-J310)</f>
        <v/>
      </c>
    </row>
    <row r="311" ht="16.5" customHeight="1">
      <c r="D311" s="2" t="inlineStr">
        <is>
          <t>譜瑞-KY(4966)</t>
        </is>
      </c>
      <c r="E311" s="3" t="n">
        <v>84</v>
      </c>
      <c r="F311" s="3" t="n">
        <v>62</v>
      </c>
      <c r="G311" s="3" t="n">
        <v>6368</v>
      </c>
      <c r="H311" s="3" t="n">
        <v>4699</v>
      </c>
      <c r="I311" s="3" t="n">
        <v>1669</v>
      </c>
      <c r="J311" s="4" t="n">
        <v>758.13</v>
      </c>
      <c r="K311" s="4" t="n">
        <v>757.87</v>
      </c>
      <c r="L311" s="5">
        <f>F311*(K311-J311)</f>
        <v/>
      </c>
    </row>
    <row r="312" ht="16.5" customHeight="1">
      <c r="D312" s="2" t="inlineStr">
        <is>
          <t>光寶科(2301)</t>
        </is>
      </c>
      <c r="E312" s="3" t="n">
        <v>208</v>
      </c>
      <c r="F312" s="3" t="n">
        <v>78</v>
      </c>
      <c r="G312" s="3" t="n">
        <v>4961</v>
      </c>
      <c r="H312" s="3" t="n">
        <v>1872</v>
      </c>
      <c r="I312" s="3" t="n">
        <v>3089</v>
      </c>
      <c r="J312" s="4" t="n">
        <v>238.52</v>
      </c>
      <c r="K312" s="4" t="n">
        <v>240.06</v>
      </c>
      <c r="L312" s="6">
        <f>F312*(K312-J312)</f>
        <v/>
      </c>
    </row>
    <row r="313" ht="16.5" customHeight="1">
      <c r="D313" s="2" t="inlineStr">
        <is>
          <t>精材(3374)</t>
        </is>
      </c>
      <c r="E313" s="3" t="n">
        <v>173</v>
      </c>
      <c r="F313" s="3" t="n">
        <v>33</v>
      </c>
      <c r="G313" s="3" t="n">
        <v>4406</v>
      </c>
      <c r="H313" s="3" t="n">
        <v>842</v>
      </c>
      <c r="I313" s="3" t="n">
        <v>3564</v>
      </c>
      <c r="J313" s="4" t="n">
        <v>254.68</v>
      </c>
      <c r="K313" s="4" t="n">
        <v>255.3</v>
      </c>
      <c r="L313" s="6">
        <f>F313*(K313-J313)</f>
        <v/>
      </c>
    </row>
    <row r="314" ht="16.5" customHeight="1">
      <c r="D314" s="2" t="inlineStr">
        <is>
          <t>台積電(2330)</t>
        </is>
      </c>
      <c r="E314" s="3" t="n">
        <v>19</v>
      </c>
      <c r="F314" s="3" t="n">
        <v>10</v>
      </c>
      <c r="G314" s="3" t="n">
        <v>4345</v>
      </c>
      <c r="H314" s="3" t="n">
        <v>2337</v>
      </c>
      <c r="I314" s="3" t="n">
        <v>2008</v>
      </c>
      <c r="J314" s="4" t="n">
        <v>2286.79</v>
      </c>
      <c r="K314" s="4" t="n">
        <v>2336.9</v>
      </c>
      <c r="L314" s="6">
        <f>F314*(K314-J314)</f>
        <v/>
      </c>
    </row>
    <row r="315" ht="16.5" customHeight="1">
      <c r="D315" s="2" t="inlineStr">
        <is>
          <t>主動統一升級50(00403A)</t>
        </is>
      </c>
      <c r="E315" s="3" t="n">
        <v>3865</v>
      </c>
      <c r="F315" s="3" t="n">
        <v>160</v>
      </c>
      <c r="G315" s="3" t="n">
        <v>4142</v>
      </c>
      <c r="H315" s="3" t="n">
        <v>172</v>
      </c>
      <c r="I315" s="3" t="n">
        <v>3970</v>
      </c>
      <c r="J315" s="4" t="n">
        <v>10.72</v>
      </c>
      <c r="K315" s="4" t="n">
        <v>10.72</v>
      </c>
      <c r="L315" s="6">
        <f>F315*(K315-J315)</f>
        <v/>
      </c>
    </row>
    <row r="316" ht="16.5" customHeight="1">
      <c r="D316" s="2" t="inlineStr">
        <is>
          <t>聯亞(3081)</t>
        </is>
      </c>
      <c r="E316" s="3" t="n">
        <v>11</v>
      </c>
      <c r="F316" s="3" t="n">
        <v>5</v>
      </c>
      <c r="G316" s="3" t="n">
        <v>3417</v>
      </c>
      <c r="H316" s="3" t="n">
        <v>1527</v>
      </c>
      <c r="I316" s="3" t="n">
        <v>1890</v>
      </c>
      <c r="J316" s="4" t="n">
        <v>3106.36</v>
      </c>
      <c r="K316" s="4" t="n">
        <v>3054.6</v>
      </c>
      <c r="L316" s="5">
        <f>F316*(K316-J316)</f>
        <v/>
      </c>
    </row>
    <row r="317" ht="16.5" customHeight="1">
      <c r="D317" s="2" t="inlineStr">
        <is>
          <t>聯電(2303)</t>
        </is>
      </c>
      <c r="E317" s="3" t="n">
        <v>334</v>
      </c>
      <c r="F317" s="3" t="n">
        <v>461</v>
      </c>
      <c r="G317" s="3" t="n">
        <v>3330</v>
      </c>
      <c r="H317" s="3" t="n">
        <v>4662</v>
      </c>
      <c r="I317" s="3" t="n">
        <v>-1332</v>
      </c>
      <c r="J317" s="4" t="n">
        <v>99.7</v>
      </c>
      <c r="K317" s="4" t="n">
        <v>101.14</v>
      </c>
      <c r="L317" s="6">
        <f>F317*(K317-J317)</f>
        <v/>
      </c>
    </row>
    <row r="318" ht="16.5" customHeight="1">
      <c r="D318" s="2" t="inlineStr">
        <is>
          <t>光聖(6442)</t>
        </is>
      </c>
      <c r="E318" s="3" t="n">
        <v>16</v>
      </c>
      <c r="F318" s="3" t="n">
        <v>2</v>
      </c>
      <c r="G318" s="3" t="n">
        <v>2982</v>
      </c>
      <c r="H318" s="3" t="n">
        <v>465</v>
      </c>
      <c r="I318" s="3" t="n">
        <v>2517</v>
      </c>
      <c r="J318" s="4" t="n">
        <v>1863.75</v>
      </c>
      <c r="K318" s="4" t="n">
        <v>2323</v>
      </c>
      <c r="L318" s="6">
        <f>F318*(K318-J318)</f>
        <v/>
      </c>
    </row>
    <row r="319" ht="16.5" customHeight="1">
      <c r="D319" s="2" t="inlineStr">
        <is>
          <t>立隆電(2472)</t>
        </is>
      </c>
      <c r="E319" s="3" t="n">
        <v>124</v>
      </c>
      <c r="F319" s="3" t="n">
        <v>10</v>
      </c>
      <c r="G319" s="3" t="n">
        <v>2768</v>
      </c>
      <c r="H319" s="3" t="n">
        <v>222</v>
      </c>
      <c r="I319" s="3" t="n">
        <v>2546</v>
      </c>
      <c r="J319" s="4" t="n">
        <v>223.21</v>
      </c>
      <c r="K319" s="4" t="n">
        <v>222.5</v>
      </c>
      <c r="L319" s="5">
        <f>F319*(K319-J319)</f>
        <v/>
      </c>
    </row>
    <row r="320" ht="16.5" customHeight="1">
      <c r="B320" s="1" t="inlineStr">
        <is>
          <t>分點</t>
        </is>
      </c>
      <c r="C320" s="1" t="inlineStr">
        <is>
          <t>代號</t>
        </is>
      </c>
      <c r="D320" s="1" t="inlineStr">
        <is>
          <t>標的</t>
        </is>
      </c>
      <c r="E320" s="1" t="inlineStr">
        <is>
          <t>買進(張)</t>
        </is>
      </c>
      <c r="F320" s="1" t="inlineStr">
        <is>
          <t>賣出(張)</t>
        </is>
      </c>
      <c r="G320" s="1" t="inlineStr">
        <is>
          <t>買進(萬元)</t>
        </is>
      </c>
      <c r="H320" s="1" t="inlineStr">
        <is>
          <t>賣出(萬元)</t>
        </is>
      </c>
      <c r="I320" s="1" t="inlineStr">
        <is>
          <t>淨買差(萬元)</t>
        </is>
      </c>
      <c r="J320" s="1" t="inlineStr">
        <is>
          <t>買均</t>
        </is>
      </c>
      <c r="K320" s="1" t="inlineStr">
        <is>
          <t>賣均</t>
        </is>
      </c>
      <c r="L320" s="1" t="inlineStr">
        <is>
          <t>損益(萬)</t>
        </is>
      </c>
    </row>
    <row r="321" ht="16.5" customHeight="1">
      <c r="B321" s="1" t="inlineStr">
        <is>
          <t>元大-館前</t>
        </is>
      </c>
      <c r="C321" s="1" t="inlineStr">
        <is>
          <t>984K</t>
        </is>
      </c>
      <c r="D321" s="2" t="inlineStr">
        <is>
          <t>聯發科(2454)</t>
        </is>
      </c>
      <c r="E321" s="3" t="n">
        <v>60</v>
      </c>
      <c r="F321" s="3" t="n">
        <v>24</v>
      </c>
      <c r="G321" s="3" t="n">
        <v>22167</v>
      </c>
      <c r="H321" s="3" t="n">
        <v>8835</v>
      </c>
      <c r="I321" s="3" t="n">
        <v>13332</v>
      </c>
      <c r="J321" s="4" t="n">
        <v>3694.57</v>
      </c>
      <c r="K321" s="4" t="n">
        <v>3681.12</v>
      </c>
      <c r="L321" s="5">
        <f>F321*(K321-J321)</f>
        <v/>
      </c>
    </row>
    <row r="322" ht="16.5" customHeight="1">
      <c r="D322" s="2" t="inlineStr">
        <is>
          <t>群聯(8299)</t>
        </is>
      </c>
      <c r="E322" s="3" t="n">
        <v>69</v>
      </c>
      <c r="F322" s="3" t="n">
        <v>15</v>
      </c>
      <c r="G322" s="3" t="n">
        <v>18558</v>
      </c>
      <c r="H322" s="3" t="n">
        <v>4245</v>
      </c>
      <c r="I322" s="3" t="n">
        <v>14313</v>
      </c>
      <c r="J322" s="4" t="n">
        <v>2689.52</v>
      </c>
      <c r="K322" s="4" t="n">
        <v>2830.07</v>
      </c>
      <c r="L322" s="6">
        <f>F322*(K322-J322)</f>
        <v/>
      </c>
    </row>
    <row r="323" ht="16.5" customHeight="1">
      <c r="D323" s="2" t="inlineStr">
        <is>
          <t>聯電(2303)</t>
        </is>
      </c>
      <c r="E323" s="3" t="n">
        <v>1349</v>
      </c>
      <c r="F323" s="3" t="n">
        <v>1622</v>
      </c>
      <c r="G323" s="3" t="n">
        <v>13739</v>
      </c>
      <c r="H323" s="3" t="n">
        <v>16482</v>
      </c>
      <c r="I323" s="3" t="n">
        <v>-2743</v>
      </c>
      <c r="J323" s="4" t="n">
        <v>101.85</v>
      </c>
      <c r="K323" s="4" t="n">
        <v>101.62</v>
      </c>
      <c r="L323" s="5">
        <f>F323*(K323-J323)</f>
        <v/>
      </c>
    </row>
    <row r="324" ht="16.5" customHeight="1">
      <c r="D324" s="2" t="inlineStr">
        <is>
          <t>台積電(2330)</t>
        </is>
      </c>
      <c r="E324" s="3" t="n">
        <v>49</v>
      </c>
      <c r="F324" s="3" t="n">
        <v>32</v>
      </c>
      <c r="G324" s="3" t="n">
        <v>11140</v>
      </c>
      <c r="H324" s="3" t="n">
        <v>7243</v>
      </c>
      <c r="I324" s="3" t="n">
        <v>3897</v>
      </c>
      <c r="J324" s="4" t="n">
        <v>2273.43</v>
      </c>
      <c r="K324" s="4" t="n">
        <v>2263.44</v>
      </c>
      <c r="L324" s="5">
        <f>F324*(K324-J324)</f>
        <v/>
      </c>
    </row>
    <row r="325" ht="16.5" customHeight="1">
      <c r="D325" s="2" t="inlineStr">
        <is>
          <t>南亞科(2408)</t>
        </is>
      </c>
      <c r="E325" s="3" t="n">
        <v>239</v>
      </c>
      <c r="F325" s="3" t="n">
        <v>439</v>
      </c>
      <c r="G325" s="3" t="n">
        <v>7468</v>
      </c>
      <c r="H325" s="3" t="n">
        <v>13779</v>
      </c>
      <c r="I325" s="3" t="n">
        <v>-6311</v>
      </c>
      <c r="J325" s="4" t="n">
        <v>312.47</v>
      </c>
      <c r="K325" s="4" t="n">
        <v>313.87</v>
      </c>
      <c r="L325" s="6">
        <f>F325*(K325-J325)</f>
        <v/>
      </c>
    </row>
    <row r="326" ht="16.5" customHeight="1">
      <c r="D326" s="2" t="inlineStr">
        <is>
          <t>友達(2409)</t>
        </is>
      </c>
      <c r="E326" s="3" t="n">
        <v>3035</v>
      </c>
      <c r="F326" s="3" t="n">
        <v>3972</v>
      </c>
      <c r="G326" s="3" t="n">
        <v>6127</v>
      </c>
      <c r="H326" s="3" t="n">
        <v>8008</v>
      </c>
      <c r="I326" s="3" t="n">
        <v>-1881</v>
      </c>
      <c r="J326" s="4" t="n">
        <v>20.19</v>
      </c>
      <c r="K326" s="4" t="n">
        <v>20.16</v>
      </c>
      <c r="L326" s="5">
        <f>F326*(K326-J326)</f>
        <v/>
      </c>
    </row>
    <row r="327" ht="16.5" customHeight="1">
      <c r="D327" s="2" t="inlineStr">
        <is>
          <t>主動統一升級50(00403A)</t>
        </is>
      </c>
      <c r="E327" s="3" t="n">
        <v>5391</v>
      </c>
      <c r="F327" s="3" t="n">
        <v>2790</v>
      </c>
      <c r="G327" s="3" t="n">
        <v>5785</v>
      </c>
      <c r="H327" s="3" t="n">
        <v>3017</v>
      </c>
      <c r="I327" s="3" t="n">
        <v>2768</v>
      </c>
      <c r="J327" s="4" t="n">
        <v>10.73</v>
      </c>
      <c r="K327" s="4" t="n">
        <v>10.81</v>
      </c>
      <c r="L327" s="6">
        <f>F327*(K327-J327)</f>
        <v/>
      </c>
    </row>
    <row r="328" ht="16.5" customHeight="1">
      <c r="D328" s="2" t="inlineStr">
        <is>
          <t>彩晶(6116)</t>
        </is>
      </c>
      <c r="E328" s="3" t="n">
        <v>5021</v>
      </c>
      <c r="F328" s="3" t="n">
        <v>36</v>
      </c>
      <c r="G328" s="3" t="n">
        <v>5098</v>
      </c>
      <c r="H328" s="3" t="n">
        <v>37</v>
      </c>
      <c r="I328" s="3" t="n">
        <v>5061</v>
      </c>
      <c r="J328" s="4" t="n">
        <v>10.15</v>
      </c>
      <c r="K328" s="4" t="n">
        <v>10.33</v>
      </c>
      <c r="L328" s="6">
        <f>F328*(K328-J328)</f>
        <v/>
      </c>
    </row>
    <row r="329" ht="16.5" customHeight="1">
      <c r="D329" s="2" t="inlineStr">
        <is>
          <t>愛普*(6531)</t>
        </is>
      </c>
      <c r="E329" s="3" t="n">
        <v>48</v>
      </c>
      <c r="F329" s="3" t="n">
        <v>31</v>
      </c>
      <c r="G329" s="3" t="n">
        <v>5086</v>
      </c>
      <c r="H329" s="3" t="n">
        <v>3245</v>
      </c>
      <c r="I329" s="3" t="n">
        <v>1841</v>
      </c>
      <c r="J329" s="4" t="n">
        <v>1059.52</v>
      </c>
      <c r="K329" s="4" t="n">
        <v>1046.71</v>
      </c>
      <c r="L329" s="5">
        <f>F329*(K329-J329)</f>
        <v/>
      </c>
    </row>
    <row r="330" ht="16.5" customHeight="1">
      <c r="D330" s="2" t="inlineStr">
        <is>
          <t>廣達(2382)</t>
        </is>
      </c>
      <c r="E330" s="3" t="n">
        <v>146</v>
      </c>
      <c r="F330" s="3" t="n">
        <v>49</v>
      </c>
      <c r="G330" s="3" t="n">
        <v>4988</v>
      </c>
      <c r="H330" s="3" t="n">
        <v>1679</v>
      </c>
      <c r="I330" s="3" t="n">
        <v>3309</v>
      </c>
      <c r="J330" s="4" t="n">
        <v>341.66</v>
      </c>
      <c r="K330" s="4" t="n">
        <v>342.65</v>
      </c>
      <c r="L330" s="6">
        <f>F330*(K330-J330)</f>
        <v/>
      </c>
    </row>
    <row r="331" ht="16.5" customHeight="1">
      <c r="B331" s="1" t="inlineStr">
        <is>
          <t>分點</t>
        </is>
      </c>
      <c r="C331" s="1" t="inlineStr">
        <is>
          <t>代號</t>
        </is>
      </c>
      <c r="D331" s="1" t="inlineStr">
        <is>
          <t>標的</t>
        </is>
      </c>
      <c r="E331" s="1" t="inlineStr">
        <is>
          <t>買進(張)</t>
        </is>
      </c>
      <c r="F331" s="1" t="inlineStr">
        <is>
          <t>賣出(張)</t>
        </is>
      </c>
      <c r="G331" s="1" t="inlineStr">
        <is>
          <t>買進(萬元)</t>
        </is>
      </c>
      <c r="H331" s="1" t="inlineStr">
        <is>
          <t>賣出(萬元)</t>
        </is>
      </c>
      <c r="I331" s="1" t="inlineStr">
        <is>
          <t>淨買差(萬元)</t>
        </is>
      </c>
      <c r="J331" s="1" t="inlineStr">
        <is>
          <t>買均</t>
        </is>
      </c>
      <c r="K331" s="1" t="inlineStr">
        <is>
          <t>賣均</t>
        </is>
      </c>
      <c r="L331" s="1" t="inlineStr">
        <is>
          <t>損益(萬)</t>
        </is>
      </c>
    </row>
    <row r="332" ht="16.5" customHeight="1">
      <c r="B332" s="1" t="inlineStr">
        <is>
          <t>元大-內湖</t>
        </is>
      </c>
      <c r="C332" s="1" t="inlineStr">
        <is>
          <t>989N</t>
        </is>
      </c>
      <c r="D332" s="2" t="inlineStr">
        <is>
          <t>主動統一升級50(00403A)</t>
        </is>
      </c>
      <c r="E332" s="3" t="n">
        <v>7653</v>
      </c>
      <c r="F332" s="3" t="n">
        <v>2267</v>
      </c>
      <c r="G332" s="3" t="n">
        <v>8215</v>
      </c>
      <c r="H332" s="3" t="n">
        <v>2440</v>
      </c>
      <c r="I332" s="3" t="n">
        <v>5775</v>
      </c>
      <c r="J332" s="4" t="n">
        <v>10.73</v>
      </c>
      <c r="K332" s="4" t="n">
        <v>10.76</v>
      </c>
      <c r="L332" s="6">
        <f>F332*(K332-J332)</f>
        <v/>
      </c>
    </row>
    <row r="333" ht="16.5" customHeight="1">
      <c r="D333" s="2" t="inlineStr">
        <is>
          <t>南亞科(2408)</t>
        </is>
      </c>
      <c r="E333" s="3" t="n">
        <v>219</v>
      </c>
      <c r="F333" s="3" t="n">
        <v>197</v>
      </c>
      <c r="G333" s="3" t="n">
        <v>7020</v>
      </c>
      <c r="H333" s="3" t="n">
        <v>6311</v>
      </c>
      <c r="I333" s="3" t="n">
        <v>709</v>
      </c>
      <c r="J333" s="4" t="n">
        <v>320.53</v>
      </c>
      <c r="K333" s="4" t="n">
        <v>320.34</v>
      </c>
      <c r="L333" s="5">
        <f>F333*(K333-J333)</f>
        <v/>
      </c>
    </row>
    <row r="334" ht="16.5" customHeight="1">
      <c r="D334" s="2" t="inlineStr">
        <is>
          <t>台積電(2330)</t>
        </is>
      </c>
      <c r="E334" s="3" t="n">
        <v>25</v>
      </c>
      <c r="F334" s="3" t="n">
        <v>15</v>
      </c>
      <c r="G334" s="3" t="n">
        <v>5590</v>
      </c>
      <c r="H334" s="3" t="n">
        <v>3404</v>
      </c>
      <c r="I334" s="3" t="n">
        <v>2186</v>
      </c>
      <c r="J334" s="4" t="n">
        <v>2235.8</v>
      </c>
      <c r="K334" s="4" t="n">
        <v>2269.13</v>
      </c>
      <c r="L334" s="6">
        <f>F334*(K334-J334)</f>
        <v/>
      </c>
    </row>
    <row r="335" ht="16.5" customHeight="1">
      <c r="D335" s="2" t="inlineStr">
        <is>
          <t>群聯(8299)</t>
        </is>
      </c>
      <c r="E335" s="3" t="n">
        <v>14</v>
      </c>
      <c r="F335" s="3" t="n">
        <v>8</v>
      </c>
      <c r="G335" s="3" t="n">
        <v>3930</v>
      </c>
      <c r="H335" s="3" t="n">
        <v>2166</v>
      </c>
      <c r="I335" s="3" t="n">
        <v>1764</v>
      </c>
      <c r="J335" s="4" t="n">
        <v>2807.07</v>
      </c>
      <c r="K335" s="4" t="n">
        <v>2708.12</v>
      </c>
      <c r="L335" s="5">
        <f>F335*(K335-J335)</f>
        <v/>
      </c>
    </row>
    <row r="336" ht="16.5" customHeight="1">
      <c r="D336" s="2" t="inlineStr">
        <is>
          <t>聯發科(2454)</t>
        </is>
      </c>
      <c r="E336" s="3" t="n">
        <v>9</v>
      </c>
      <c r="F336" s="3" t="n">
        <v>1</v>
      </c>
      <c r="G336" s="3" t="n">
        <v>3242</v>
      </c>
      <c r="H336" s="3" t="n">
        <v>228</v>
      </c>
      <c r="I336" s="3" t="n">
        <v>3014</v>
      </c>
      <c r="J336" s="4" t="n">
        <v>3601.78</v>
      </c>
      <c r="K336" s="4" t="n">
        <v>2282</v>
      </c>
      <c r="L336" s="5">
        <f>F336*(K336-J336)</f>
        <v/>
      </c>
    </row>
    <row r="337" ht="16.5" customHeight="1">
      <c r="D337" s="2" t="inlineStr">
        <is>
          <t>旺宏(2337)</t>
        </is>
      </c>
      <c r="E337" s="3" t="n">
        <v>194</v>
      </c>
      <c r="F337" s="3" t="n">
        <v>129</v>
      </c>
      <c r="G337" s="3" t="n">
        <v>3006</v>
      </c>
      <c r="H337" s="3" t="n">
        <v>1984</v>
      </c>
      <c r="I337" s="3" t="n">
        <v>1022</v>
      </c>
      <c r="J337" s="4" t="n">
        <v>154.92</v>
      </c>
      <c r="K337" s="4" t="n">
        <v>153.83</v>
      </c>
      <c r="L337" s="5">
        <f>F337*(K337-J337)</f>
        <v/>
      </c>
    </row>
    <row r="338" ht="16.5" customHeight="1">
      <c r="D338" s="2" t="inlineStr">
        <is>
          <t>聯電(2303)</t>
        </is>
      </c>
      <c r="E338" s="3" t="n">
        <v>287</v>
      </c>
      <c r="F338" s="3" t="n">
        <v>509</v>
      </c>
      <c r="G338" s="3" t="n">
        <v>2861</v>
      </c>
      <c r="H338" s="3" t="n">
        <v>5129</v>
      </c>
      <c r="I338" s="3" t="n">
        <v>-2268</v>
      </c>
      <c r="J338" s="4" t="n">
        <v>99.68000000000001</v>
      </c>
      <c r="K338" s="4" t="n">
        <v>100.77</v>
      </c>
      <c r="L338" s="6">
        <f>F338*(K338-J338)</f>
        <v/>
      </c>
    </row>
    <row r="339" ht="16.5" customHeight="1">
      <c r="D339" s="2" t="inlineStr">
        <is>
          <t>力積電(6770)</t>
        </is>
      </c>
      <c r="E339" s="3" t="n">
        <v>437</v>
      </c>
      <c r="F339" s="3" t="n">
        <v>314</v>
      </c>
      <c r="G339" s="3" t="n">
        <v>2696</v>
      </c>
      <c r="H339" s="3" t="n">
        <v>1931</v>
      </c>
      <c r="I339" s="3" t="n">
        <v>765</v>
      </c>
      <c r="J339" s="4" t="n">
        <v>61.7</v>
      </c>
      <c r="K339" s="4" t="n">
        <v>61.5</v>
      </c>
      <c r="L339" s="5">
        <f>F339*(K339-J339)</f>
        <v/>
      </c>
    </row>
    <row r="340" ht="16.5" customHeight="1">
      <c r="D340" s="2" t="inlineStr">
        <is>
          <t>國巨*(2327)</t>
        </is>
      </c>
      <c r="E340" s="3" t="n">
        <v>61</v>
      </c>
      <c r="F340" s="3" t="n">
        <v>99</v>
      </c>
      <c r="G340" s="3" t="n">
        <v>2543</v>
      </c>
      <c r="H340" s="3" t="n">
        <v>4144</v>
      </c>
      <c r="I340" s="3" t="n">
        <v>-1601</v>
      </c>
      <c r="J340" s="4" t="n">
        <v>416.89</v>
      </c>
      <c r="K340" s="4" t="n">
        <v>418.58</v>
      </c>
      <c r="L340" s="6">
        <f>F340*(K340-J340)</f>
        <v/>
      </c>
    </row>
    <row r="341" ht="16.5" customHeight="1">
      <c r="D341" s="2" t="inlineStr">
        <is>
          <t>穩懋(3105)</t>
        </is>
      </c>
      <c r="E341" s="3" t="n">
        <v>47</v>
      </c>
      <c r="F341" s="3" t="n">
        <v>23</v>
      </c>
      <c r="G341" s="3" t="n">
        <v>2418</v>
      </c>
      <c r="H341" s="3" t="n">
        <v>1193</v>
      </c>
      <c r="I341" s="3" t="n">
        <v>1225</v>
      </c>
      <c r="J341" s="4" t="n">
        <v>514.45</v>
      </c>
      <c r="K341" s="4" t="n">
        <v>518.7</v>
      </c>
      <c r="L341" s="6">
        <f>F341*(K341-J341)</f>
        <v/>
      </c>
    </row>
    <row r="342" ht="16.5" customHeight="1">
      <c r="B342" s="1" t="inlineStr">
        <is>
          <t>分點</t>
        </is>
      </c>
      <c r="C342" s="1" t="inlineStr">
        <is>
          <t>代號</t>
        </is>
      </c>
      <c r="D342" s="1" t="inlineStr">
        <is>
          <t>標的</t>
        </is>
      </c>
      <c r="E342" s="1" t="inlineStr">
        <is>
          <t>買進(張)</t>
        </is>
      </c>
      <c r="F342" s="1" t="inlineStr">
        <is>
          <t>賣出(張)</t>
        </is>
      </c>
      <c r="G342" s="1" t="inlineStr">
        <is>
          <t>買進(萬元)</t>
        </is>
      </c>
      <c r="H342" s="1" t="inlineStr">
        <is>
          <t>賣出(萬元)</t>
        </is>
      </c>
      <c r="I342" s="1" t="inlineStr">
        <is>
          <t>淨買差(萬元)</t>
        </is>
      </c>
      <c r="J342" s="1" t="inlineStr">
        <is>
          <t>買均</t>
        </is>
      </c>
      <c r="K342" s="1" t="inlineStr">
        <is>
          <t>賣均</t>
        </is>
      </c>
      <c r="L342" s="1" t="inlineStr">
        <is>
          <t>損益(萬)</t>
        </is>
      </c>
    </row>
    <row r="343" ht="16.5" customHeight="1">
      <c r="B343" s="1" t="inlineStr">
        <is>
          <t>凱基-高美館</t>
        </is>
      </c>
      <c r="C343" s="1" t="inlineStr">
        <is>
          <t>9215</t>
        </is>
      </c>
      <c r="D343" s="2" t="inlineStr">
        <is>
          <t>台積電(2330)</t>
        </is>
      </c>
      <c r="E343" s="3" t="n">
        <v>47</v>
      </c>
      <c r="F343" s="3" t="n">
        <v>77</v>
      </c>
      <c r="G343" s="3" t="n">
        <v>10700</v>
      </c>
      <c r="H343" s="3" t="n">
        <v>17410</v>
      </c>
      <c r="I343" s="3" t="n">
        <v>-6710</v>
      </c>
      <c r="J343" s="4" t="n">
        <v>2276.68</v>
      </c>
      <c r="K343" s="4" t="n">
        <v>2261.08</v>
      </c>
      <c r="L343" s="5">
        <f>F343*(K343-J343)</f>
        <v/>
      </c>
    </row>
    <row r="344" ht="16.5" customHeight="1">
      <c r="D344" s="2" t="inlineStr">
        <is>
          <t>群聯(8299)</t>
        </is>
      </c>
      <c r="E344" s="3" t="n">
        <v>27</v>
      </c>
      <c r="F344" s="3" t="n">
        <v>11</v>
      </c>
      <c r="G344" s="3" t="n">
        <v>7454</v>
      </c>
      <c r="H344" s="3" t="n">
        <v>2941</v>
      </c>
      <c r="I344" s="3" t="n">
        <v>4513</v>
      </c>
      <c r="J344" s="4" t="n">
        <v>2760.78</v>
      </c>
      <c r="K344" s="4" t="n">
        <v>2673.55</v>
      </c>
      <c r="L344" s="5">
        <f>F344*(K344-J344)</f>
        <v/>
      </c>
    </row>
    <row r="345" ht="16.5" customHeight="1">
      <c r="D345" s="2" t="inlineStr">
        <is>
          <t>主動統一升級50(00403A)</t>
        </is>
      </c>
      <c r="E345" s="3" t="n">
        <v>6106</v>
      </c>
      <c r="F345" s="3" t="n">
        <v>1583</v>
      </c>
      <c r="G345" s="3" t="n">
        <v>6549</v>
      </c>
      <c r="H345" s="3" t="n">
        <v>1710</v>
      </c>
      <c r="I345" s="3" t="n">
        <v>4839</v>
      </c>
      <c r="J345" s="4" t="n">
        <v>10.73</v>
      </c>
      <c r="K345" s="4" t="n">
        <v>10.8</v>
      </c>
      <c r="L345" s="6">
        <f>F345*(K345-J345)</f>
        <v/>
      </c>
    </row>
    <row r="346" ht="16.5" customHeight="1">
      <c r="D346" s="2" t="inlineStr">
        <is>
          <t>華邦電(2344)</t>
        </is>
      </c>
      <c r="E346" s="3" t="n">
        <v>488</v>
      </c>
      <c r="F346" s="3" t="n">
        <v>207</v>
      </c>
      <c r="G346" s="3" t="n">
        <v>5793</v>
      </c>
      <c r="H346" s="3" t="n">
        <v>2497</v>
      </c>
      <c r="I346" s="3" t="n">
        <v>3296</v>
      </c>
      <c r="J346" s="4" t="n">
        <v>118.71</v>
      </c>
      <c r="K346" s="4" t="n">
        <v>120.61</v>
      </c>
      <c r="L346" s="6">
        <f>F346*(K346-J346)</f>
        <v/>
      </c>
    </row>
    <row r="347" ht="16.5" customHeight="1">
      <c r="D347" s="2" t="inlineStr">
        <is>
          <t>祥碩(5269)</t>
        </is>
      </c>
      <c r="E347" s="3" t="n">
        <v>27</v>
      </c>
      <c r="F347" s="3" t="n">
        <v>7</v>
      </c>
      <c r="G347" s="3" t="n">
        <v>4084</v>
      </c>
      <c r="H347" s="3" t="n">
        <v>1006</v>
      </c>
      <c r="I347" s="3" t="n">
        <v>3078</v>
      </c>
      <c r="J347" s="4" t="n">
        <v>1512.41</v>
      </c>
      <c r="K347" s="4" t="n">
        <v>1436.86</v>
      </c>
      <c r="L347" s="5">
        <f>F347*(K347-J347)</f>
        <v/>
      </c>
    </row>
    <row r="348" ht="16.5" customHeight="1">
      <c r="D348" s="2" t="inlineStr">
        <is>
          <t>群創(3481)</t>
        </is>
      </c>
      <c r="E348" s="3" t="n">
        <v>753</v>
      </c>
      <c r="F348" s="3" t="n">
        <v>1111</v>
      </c>
      <c r="G348" s="3" t="n">
        <v>2577</v>
      </c>
      <c r="H348" s="3" t="n">
        <v>3880</v>
      </c>
      <c r="I348" s="3" t="n">
        <v>-1303</v>
      </c>
      <c r="J348" s="4" t="n">
        <v>34.23</v>
      </c>
      <c r="K348" s="4" t="n">
        <v>34.93</v>
      </c>
      <c r="L348" s="6">
        <f>F348*(K348-J348)</f>
        <v/>
      </c>
    </row>
    <row r="349" ht="16.5" customHeight="1">
      <c r="D349" s="2" t="inlineStr">
        <is>
          <t>宜鼎(5289)</t>
        </is>
      </c>
      <c r="E349" s="3" t="n">
        <v>14</v>
      </c>
      <c r="F349" s="3" t="n">
        <v>7</v>
      </c>
      <c r="G349" s="3" t="n">
        <v>2429</v>
      </c>
      <c r="H349" s="3" t="n">
        <v>1277</v>
      </c>
      <c r="I349" s="3" t="n">
        <v>1152</v>
      </c>
      <c r="J349" s="4" t="n">
        <v>1735.07</v>
      </c>
      <c r="K349" s="4" t="n">
        <v>1824.57</v>
      </c>
      <c r="L349" s="6">
        <f>F349*(K349-J349)</f>
        <v/>
      </c>
    </row>
    <row r="350" ht="16.5" customHeight="1">
      <c r="D350" s="2" t="inlineStr">
        <is>
          <t>技嘉(2376)</t>
        </is>
      </c>
      <c r="E350" s="3" t="n">
        <v>69</v>
      </c>
      <c r="F350" s="3" t="n">
        <v>21</v>
      </c>
      <c r="G350" s="3" t="n">
        <v>2219</v>
      </c>
      <c r="H350" s="3" t="n">
        <v>677</v>
      </c>
      <c r="I350" s="3" t="n">
        <v>1542</v>
      </c>
      <c r="J350" s="4" t="n">
        <v>321.58</v>
      </c>
      <c r="K350" s="4" t="n">
        <v>322.43</v>
      </c>
      <c r="L350" s="6">
        <f>F350*(K350-J350)</f>
        <v/>
      </c>
    </row>
    <row r="351" ht="16.5" customHeight="1">
      <c r="D351" s="2" t="inlineStr">
        <is>
          <t>華星光(4979)</t>
        </is>
      </c>
      <c r="E351" s="3" t="n">
        <v>32</v>
      </c>
      <c r="F351" s="3" t="n">
        <v>9</v>
      </c>
      <c r="G351" s="3" t="n">
        <v>2126</v>
      </c>
      <c r="H351" s="3" t="n">
        <v>604</v>
      </c>
      <c r="I351" s="3" t="n">
        <v>1522</v>
      </c>
      <c r="J351" s="4" t="n">
        <v>664.3099999999999</v>
      </c>
      <c r="K351" s="4" t="n">
        <v>671.11</v>
      </c>
      <c r="L351" s="6">
        <f>F351*(K351-J351)</f>
        <v/>
      </c>
    </row>
    <row r="352" ht="16.5" customHeight="1">
      <c r="D352" s="2" t="inlineStr">
        <is>
          <t>南電(8046)</t>
        </is>
      </c>
      <c r="E352" s="3" t="n">
        <v>23</v>
      </c>
      <c r="F352" s="3" t="n">
        <v>32</v>
      </c>
      <c r="G352" s="3" t="n">
        <v>2105</v>
      </c>
      <c r="H352" s="3" t="n">
        <v>2866</v>
      </c>
      <c r="I352" s="3" t="n">
        <v>-761</v>
      </c>
      <c r="J352" s="4" t="n">
        <v>915.26</v>
      </c>
      <c r="K352" s="4" t="n">
        <v>895.66</v>
      </c>
      <c r="L352" s="5">
        <f>F352*(K352-J352)</f>
        <v/>
      </c>
    </row>
    <row r="353" ht="16.5" customHeight="1">
      <c r="B353" s="1" t="inlineStr">
        <is>
          <t>分點</t>
        </is>
      </c>
      <c r="C353" s="1" t="inlineStr">
        <is>
          <t>代號</t>
        </is>
      </c>
      <c r="D353" s="1" t="inlineStr">
        <is>
          <t>標的</t>
        </is>
      </c>
      <c r="E353" s="1" t="inlineStr">
        <is>
          <t>買進(張)</t>
        </is>
      </c>
      <c r="F353" s="1" t="inlineStr">
        <is>
          <t>賣出(張)</t>
        </is>
      </c>
      <c r="G353" s="1" t="inlineStr">
        <is>
          <t>買進(萬元)</t>
        </is>
      </c>
      <c r="H353" s="1" t="inlineStr">
        <is>
          <t>賣出(萬元)</t>
        </is>
      </c>
      <c r="I353" s="1" t="inlineStr">
        <is>
          <t>淨買差(萬元)</t>
        </is>
      </c>
      <c r="J353" s="1" t="inlineStr">
        <is>
          <t>買均</t>
        </is>
      </c>
      <c r="K353" s="1" t="inlineStr">
        <is>
          <t>賣均</t>
        </is>
      </c>
      <c r="L353" s="1" t="inlineStr">
        <is>
          <t>損益(萬)</t>
        </is>
      </c>
    </row>
    <row r="354" ht="16.5" customHeight="1">
      <c r="B354" s="1" t="inlineStr">
        <is>
          <t>台新-大昌</t>
        </is>
      </c>
      <c r="C354" s="1" t="inlineStr">
        <is>
          <t>9B2D</t>
        </is>
      </c>
      <c r="D354" s="2" t="inlineStr">
        <is>
          <t>創意(3443)</t>
        </is>
      </c>
      <c r="E354" s="3" t="n">
        <v>10</v>
      </c>
      <c r="F354" s="3" t="n">
        <v>9</v>
      </c>
      <c r="G354" s="3" t="n">
        <v>5618</v>
      </c>
      <c r="H354" s="3" t="n">
        <v>5016</v>
      </c>
      <c r="I354" s="3" t="n">
        <v>602</v>
      </c>
      <c r="J354" s="4" t="n">
        <v>5617.8</v>
      </c>
      <c r="K354" s="4" t="n">
        <v>5573.11</v>
      </c>
      <c r="L354" s="5">
        <f>F354*(K354-J354)</f>
        <v/>
      </c>
    </row>
    <row r="355" ht="16.5" customHeight="1">
      <c r="D355" s="2" t="inlineStr">
        <is>
          <t>主動統一升級50(00403A)</t>
        </is>
      </c>
      <c r="E355" s="3" t="n">
        <v>3643</v>
      </c>
      <c r="F355" s="3" t="n">
        <v>226</v>
      </c>
      <c r="G355" s="3" t="n">
        <v>3911</v>
      </c>
      <c r="H355" s="3" t="n">
        <v>243</v>
      </c>
      <c r="I355" s="3" t="n">
        <v>3668</v>
      </c>
      <c r="J355" s="4" t="n">
        <v>10.74</v>
      </c>
      <c r="K355" s="4" t="n">
        <v>10.73</v>
      </c>
      <c r="L355" s="5">
        <f>F355*(K355-J355)</f>
        <v/>
      </c>
    </row>
    <row r="356" ht="16.5" customHeight="1">
      <c r="D356" s="2" t="inlineStr">
        <is>
          <t>台積電(2330)</t>
        </is>
      </c>
      <c r="E356" s="3" t="n">
        <v>14</v>
      </c>
      <c r="F356" s="3" t="n">
        <v>10</v>
      </c>
      <c r="G356" s="3" t="n">
        <v>3082</v>
      </c>
      <c r="H356" s="3" t="n">
        <v>2201</v>
      </c>
      <c r="I356" s="3" t="n">
        <v>881</v>
      </c>
      <c r="J356" s="4" t="n">
        <v>2201.43</v>
      </c>
      <c r="K356" s="4" t="n">
        <v>2200.6</v>
      </c>
      <c r="L356" s="5">
        <f>F356*(K356-J356)</f>
        <v/>
      </c>
    </row>
    <row r="357" ht="16.5" customHeight="1">
      <c r="D357" s="2" t="inlineStr">
        <is>
          <t>品安(8088)</t>
        </is>
      </c>
      <c r="E357" s="3" t="n">
        <v>405</v>
      </c>
      <c r="F357" s="3" t="n">
        <v>15</v>
      </c>
      <c r="G357" s="3" t="n">
        <v>2122</v>
      </c>
      <c r="H357" s="3" t="n">
        <v>79</v>
      </c>
      <c r="I357" s="3" t="n">
        <v>2043</v>
      </c>
      <c r="J357" s="4" t="n">
        <v>52.4</v>
      </c>
      <c r="K357" s="4" t="n">
        <v>52.8</v>
      </c>
      <c r="L357" s="6">
        <f>F357*(K357-J357)</f>
        <v/>
      </c>
    </row>
    <row r="358" ht="16.5" customHeight="1">
      <c r="D358" s="2" t="inlineStr">
        <is>
          <t>主動群益台灣強棒(00982A)</t>
        </is>
      </c>
      <c r="E358" s="3" t="n">
        <v>823</v>
      </c>
      <c r="F358" s="3" t="n">
        <v>12</v>
      </c>
      <c r="G358" s="3" t="n">
        <v>1922</v>
      </c>
      <c r="H358" s="3" t="n">
        <v>28</v>
      </c>
      <c r="I358" s="3" t="n">
        <v>1894</v>
      </c>
      <c r="J358" s="4" t="n">
        <v>23.35</v>
      </c>
      <c r="K358" s="4" t="n">
        <v>23.33</v>
      </c>
      <c r="L358" s="5">
        <f>F358*(K358-J358)</f>
        <v/>
      </c>
    </row>
    <row r="359" ht="16.5" customHeight="1">
      <c r="D359" s="2" t="inlineStr">
        <is>
          <t>日月光投控(3711)</t>
        </is>
      </c>
      <c r="E359" s="3" t="n">
        <v>32</v>
      </c>
      <c r="F359" s="3" t="n">
        <v>14</v>
      </c>
      <c r="G359" s="3" t="n">
        <v>1799</v>
      </c>
      <c r="H359" s="3" t="n">
        <v>800</v>
      </c>
      <c r="I359" s="3" t="n">
        <v>999</v>
      </c>
      <c r="J359" s="4" t="n">
        <v>562.12</v>
      </c>
      <c r="K359" s="4" t="n">
        <v>571.0700000000001</v>
      </c>
      <c r="L359" s="6">
        <f>F359*(K359-J359)</f>
        <v/>
      </c>
    </row>
    <row r="360" ht="16.5" customHeight="1">
      <c r="D360" s="2" t="inlineStr">
        <is>
          <t>漢唐(2404)</t>
        </is>
      </c>
      <c r="E360" s="3" t="n">
        <v>17</v>
      </c>
      <c r="F360" s="3" t="n">
        <v>1</v>
      </c>
      <c r="G360" s="3" t="n">
        <v>1717</v>
      </c>
      <c r="H360" s="3" t="n">
        <v>109</v>
      </c>
      <c r="I360" s="3" t="n">
        <v>1608</v>
      </c>
      <c r="J360" s="4" t="n">
        <v>1010.18</v>
      </c>
      <c r="K360" s="4" t="n">
        <v>1093</v>
      </c>
      <c r="L360" s="6">
        <f>F360*(K360-J360)</f>
        <v/>
      </c>
    </row>
    <row r="361" ht="16.5" customHeight="1">
      <c r="D361" s="2" t="inlineStr">
        <is>
          <t>台玻(1802)</t>
        </is>
      </c>
      <c r="E361" s="3" t="n">
        <v>227</v>
      </c>
      <c r="F361" s="3" t="n">
        <v>195</v>
      </c>
      <c r="G361" s="3" t="n">
        <v>1614</v>
      </c>
      <c r="H361" s="3" t="n">
        <v>1386</v>
      </c>
      <c r="I361" s="3" t="n">
        <v>228</v>
      </c>
      <c r="J361" s="4" t="n">
        <v>71.09999999999999</v>
      </c>
      <c r="K361" s="4" t="n">
        <v>71.09999999999999</v>
      </c>
      <c r="L361" s="6">
        <f>F361*(K361-J361)</f>
        <v/>
      </c>
    </row>
    <row r="362" ht="16.5" customHeight="1">
      <c r="D362" s="2" t="inlineStr">
        <is>
          <t>新代(7750)</t>
        </is>
      </c>
      <c r="E362" s="3" t="n">
        <v>0</v>
      </c>
      <c r="F362" s="3" t="n">
        <v>0</v>
      </c>
      <c r="G362" s="3" t="n">
        <v>1581</v>
      </c>
      <c r="H362" s="3" t="n">
        <v>3</v>
      </c>
      <c r="I362" s="3" t="n">
        <v>1578</v>
      </c>
      <c r="J362" s="4" t="n">
        <v>0</v>
      </c>
      <c r="K362" s="4" t="n">
        <v>0</v>
      </c>
      <c r="L362" s="6">
        <f>F362*(K362-J362)</f>
        <v/>
      </c>
    </row>
    <row r="363" ht="16.5" customHeight="1">
      <c r="D363" s="2" t="inlineStr">
        <is>
          <t>旺宏(2337)</t>
        </is>
      </c>
      <c r="E363" s="3" t="n">
        <v>101</v>
      </c>
      <c r="F363" s="3" t="n">
        <v>41</v>
      </c>
      <c r="G363" s="3" t="n">
        <v>1567</v>
      </c>
      <c r="H363" s="3" t="n">
        <v>624</v>
      </c>
      <c r="I363" s="3" t="n">
        <v>943</v>
      </c>
      <c r="J363" s="4" t="n">
        <v>155.12</v>
      </c>
      <c r="K363" s="4" t="n">
        <v>152.2</v>
      </c>
      <c r="L363" s="5">
        <f>F363*(K363-J363)</f>
        <v/>
      </c>
    </row>
    <row r="364" ht="16.5" customHeight="1">
      <c r="A364" s="1" t="inlineStr">
        <is>
          <t>高手</t>
        </is>
      </c>
      <c r="B364" s="1" t="inlineStr">
        <is>
          <t>分點</t>
        </is>
      </c>
      <c r="C364" s="1" t="inlineStr">
        <is>
          <t>代號</t>
        </is>
      </c>
      <c r="D364" s="1" t="inlineStr">
        <is>
          <t>標的</t>
        </is>
      </c>
      <c r="E364" s="1" t="inlineStr">
        <is>
          <t>買進(張)</t>
        </is>
      </c>
      <c r="F364" s="1" t="inlineStr">
        <is>
          <t>賣出(張)</t>
        </is>
      </c>
      <c r="G364" s="1" t="inlineStr">
        <is>
          <t>買進(萬元)</t>
        </is>
      </c>
      <c r="H364" s="1" t="inlineStr">
        <is>
          <t>賣出(萬元)</t>
        </is>
      </c>
      <c r="I364" s="1" t="inlineStr">
        <is>
          <t>淨買差(萬元)</t>
        </is>
      </c>
      <c r="J364" s="1" t="inlineStr">
        <is>
          <t>買均</t>
        </is>
      </c>
      <c r="K364" s="1" t="inlineStr">
        <is>
          <t>賣均</t>
        </is>
      </c>
      <c r="L364" s="1" t="inlineStr">
        <is>
          <t>損益(萬)</t>
        </is>
      </c>
    </row>
    <row r="365" ht="16.5" customHeight="1">
      <c r="A365" s="1" t="inlineStr">
        <is>
          <t>Tradow</t>
        </is>
      </c>
      <c r="B365" s="1" t="inlineStr">
        <is>
          <t>台新-松德</t>
        </is>
      </c>
      <c r="C365" s="1" t="inlineStr">
        <is>
          <t>9B2a</t>
        </is>
      </c>
      <c r="D365" s="2" t="inlineStr">
        <is>
          <t>元太(8069) ▲9.83%</t>
        </is>
      </c>
      <c r="E365" s="3" t="n">
        <v>583</v>
      </c>
      <c r="F365" s="3" t="n">
        <v>899</v>
      </c>
      <c r="G365" s="3" t="n">
        <v>11384</v>
      </c>
      <c r="H365" s="3" t="n">
        <v>17566</v>
      </c>
      <c r="I365" s="3" t="n">
        <v>-6182</v>
      </c>
      <c r="J365" s="4" t="n">
        <v>195.27</v>
      </c>
      <c r="K365" s="4" t="n">
        <v>195.4</v>
      </c>
      <c r="L365" s="6">
        <f>F365*(K365-J365)</f>
        <v/>
      </c>
    </row>
    <row r="366" ht="16.5" customHeight="1">
      <c r="D366" s="2" t="inlineStr">
        <is>
          <t>旺矽(6223) ▲9.93%</t>
        </is>
      </c>
      <c r="E366" s="3" t="n">
        <v>10</v>
      </c>
      <c r="F366" s="3" t="n">
        <v>1</v>
      </c>
      <c r="G366" s="3" t="n">
        <v>5456</v>
      </c>
      <c r="H366" s="3" t="n">
        <v>666</v>
      </c>
      <c r="I366" s="3" t="n">
        <v>4790</v>
      </c>
      <c r="J366" s="4" t="n">
        <v>5455.5</v>
      </c>
      <c r="K366" s="4" t="n">
        <v>6661</v>
      </c>
      <c r="L366" s="6">
        <f>F366*(K366-J366)</f>
        <v/>
      </c>
    </row>
    <row r="367" ht="16.5" customHeight="1">
      <c r="D367" s="2" t="inlineStr">
        <is>
          <t>麗正(2302) ▲10.0%</t>
        </is>
      </c>
      <c r="E367" s="3" t="n">
        <v>1497</v>
      </c>
      <c r="F367" s="3" t="n">
        <v>1</v>
      </c>
      <c r="G367" s="3" t="n">
        <v>3540</v>
      </c>
      <c r="H367" s="3" t="n">
        <v>0</v>
      </c>
      <c r="I367" s="3" t="n">
        <v>3540</v>
      </c>
      <c r="J367" s="4" t="n">
        <v>23.65</v>
      </c>
      <c r="K367" s="4" t="n">
        <v>1</v>
      </c>
      <c r="L367" s="5">
        <f>F367*(K367-J367)</f>
        <v/>
      </c>
    </row>
    <row r="368" ht="16.5" customHeight="1">
      <c r="D368" s="2" t="inlineStr">
        <is>
          <t>聯亞(3081) ▲9.89%</t>
        </is>
      </c>
      <c r="E368" s="3" t="n">
        <v>8</v>
      </c>
      <c r="F368" s="3" t="n">
        <v>2</v>
      </c>
      <c r="G368" s="3" t="n">
        <v>2404</v>
      </c>
      <c r="H368" s="3" t="n">
        <v>495</v>
      </c>
      <c r="I368" s="3" t="n">
        <v>1909</v>
      </c>
      <c r="J368" s="4" t="n">
        <v>3005</v>
      </c>
      <c r="K368" s="4" t="n">
        <v>2477</v>
      </c>
      <c r="L368" s="5">
        <f>F368*(K368-J368)</f>
        <v/>
      </c>
    </row>
    <row r="369" ht="16.5" customHeight="1">
      <c r="D369" s="2" t="inlineStr">
        <is>
          <t>普萊德(6263) ▲9.82%</t>
        </is>
      </c>
      <c r="E369" s="3" t="n">
        <v>112</v>
      </c>
      <c r="F369" s="3" t="n">
        <v>0</v>
      </c>
      <c r="G369" s="3" t="n">
        <v>2066</v>
      </c>
      <c r="H369" s="3" t="n">
        <v>0</v>
      </c>
      <c r="I369" s="3" t="n">
        <v>2066</v>
      </c>
      <c r="J369" s="4" t="n">
        <v>184.5</v>
      </c>
      <c r="K369" s="4" t="n">
        <v>0</v>
      </c>
      <c r="L369" s="6">
        <f>F369*(K369-J369)</f>
        <v/>
      </c>
    </row>
    <row r="370" ht="16.5" customHeight="1">
      <c r="D370" s="2" t="inlineStr">
        <is>
          <t>京晨科(6419) ▲9.85%</t>
        </is>
      </c>
      <c r="E370" s="3" t="n">
        <v>133</v>
      </c>
      <c r="F370" s="3" t="n">
        <v>0</v>
      </c>
      <c r="G370" s="3" t="n">
        <v>2002</v>
      </c>
      <c r="H370" s="3" t="n">
        <v>0</v>
      </c>
      <c r="I370" s="3" t="n">
        <v>2002</v>
      </c>
      <c r="J370" s="4" t="n">
        <v>150.5</v>
      </c>
      <c r="K370" s="4" t="n">
        <v>0</v>
      </c>
      <c r="L370" s="6">
        <f>F370*(K370-J370)</f>
        <v/>
      </c>
    </row>
    <row r="371" ht="16.5" customHeight="1">
      <c r="D371" s="2" t="inlineStr">
        <is>
          <t>志聖(2467) ▲10.0%</t>
        </is>
      </c>
      <c r="E371" s="3" t="n">
        <v>26</v>
      </c>
      <c r="F371" s="3" t="n">
        <v>3</v>
      </c>
      <c r="G371" s="3" t="n">
        <v>1687</v>
      </c>
      <c r="H371" s="3" t="n">
        <v>176</v>
      </c>
      <c r="I371" s="3" t="n">
        <v>1511</v>
      </c>
      <c r="J371" s="4" t="n">
        <v>648.8099999999999</v>
      </c>
      <c r="K371" s="4" t="n">
        <v>586</v>
      </c>
      <c r="L371" s="5">
        <f>F371*(K371-J371)</f>
        <v/>
      </c>
    </row>
    <row r="372" ht="16.5" customHeight="1">
      <c r="D372" s="2" t="inlineStr">
        <is>
          <t>華新科(2492) ▲9.91%</t>
        </is>
      </c>
      <c r="E372" s="3" t="n">
        <v>77</v>
      </c>
      <c r="F372" s="3" t="n">
        <v>118</v>
      </c>
      <c r="G372" s="3" t="n">
        <v>1361</v>
      </c>
      <c r="H372" s="3" t="n">
        <v>2094</v>
      </c>
      <c r="I372" s="3" t="n">
        <v>-733</v>
      </c>
      <c r="J372" s="4" t="n">
        <v>176.71</v>
      </c>
      <c r="K372" s="4" t="n">
        <v>177.47</v>
      </c>
      <c r="L372" s="6">
        <f>F372*(K372-J372)</f>
        <v/>
      </c>
    </row>
    <row r="373" ht="16.5" customHeight="1">
      <c r="D373" s="2" t="inlineStr">
        <is>
          <t>創新服務(7828) ▲9.8%</t>
        </is>
      </c>
      <c r="E373" s="3" t="n">
        <v>9</v>
      </c>
      <c r="F373" s="3" t="n">
        <v>1</v>
      </c>
      <c r="G373" s="3" t="n">
        <v>1245</v>
      </c>
      <c r="H373" s="3" t="n">
        <v>43</v>
      </c>
      <c r="I373" s="3" t="n">
        <v>1202</v>
      </c>
      <c r="J373" s="4" t="n">
        <v>1383</v>
      </c>
      <c r="K373" s="4" t="n">
        <v>428</v>
      </c>
      <c r="L373" s="5">
        <f>F373*(K373-J373)</f>
        <v/>
      </c>
    </row>
    <row r="374" ht="16.5" customHeight="1">
      <c r="D374" s="2" t="inlineStr">
        <is>
          <t>碩禾(3691) ▲9.93%</t>
        </is>
      </c>
      <c r="E374" s="3" t="n">
        <v>75</v>
      </c>
      <c r="F374" s="3" t="n">
        <v>8</v>
      </c>
      <c r="G374" s="3" t="n">
        <v>1154</v>
      </c>
      <c r="H374" s="3" t="n">
        <v>124</v>
      </c>
      <c r="I374" s="3" t="n">
        <v>1030</v>
      </c>
      <c r="J374" s="4" t="n">
        <v>153.89</v>
      </c>
      <c r="K374" s="4" t="n">
        <v>154.62</v>
      </c>
      <c r="L374" s="6">
        <f>F374*(K374-J374)</f>
        <v/>
      </c>
    </row>
    <row r="375" ht="16.5" customHeight="1">
      <c r="A375" s="1" t="inlineStr">
        <is>
          <t>高手</t>
        </is>
      </c>
      <c r="B375" s="1" t="inlineStr">
        <is>
          <t>分點</t>
        </is>
      </c>
      <c r="C375" s="1" t="inlineStr">
        <is>
          <t>代號</t>
        </is>
      </c>
      <c r="D375" s="1" t="inlineStr">
        <is>
          <t>標的</t>
        </is>
      </c>
      <c r="E375" s="1" t="inlineStr">
        <is>
          <t>買進(張)</t>
        </is>
      </c>
      <c r="F375" s="1" t="inlineStr">
        <is>
          <t>賣出(張)</t>
        </is>
      </c>
      <c r="G375" s="1" t="inlineStr">
        <is>
          <t>買進(萬元)</t>
        </is>
      </c>
      <c r="H375" s="1" t="inlineStr">
        <is>
          <t>賣出(萬元)</t>
        </is>
      </c>
      <c r="I375" s="1" t="inlineStr">
        <is>
          <t>淨買差(萬元)</t>
        </is>
      </c>
      <c r="J375" s="1" t="inlineStr">
        <is>
          <t>買均</t>
        </is>
      </c>
      <c r="K375" s="1" t="inlineStr">
        <is>
          <t>賣均</t>
        </is>
      </c>
      <c r="L375" s="1" t="inlineStr">
        <is>
          <t>損益(萬)</t>
        </is>
      </c>
    </row>
    <row r="376" ht="16.5" customHeight="1">
      <c r="A376" s="1" t="inlineStr">
        <is>
          <t>巨人傑</t>
        </is>
      </c>
      <c r="B376" s="1" t="inlineStr">
        <is>
          <t>台新-西松</t>
        </is>
      </c>
      <c r="C376" s="1" t="inlineStr">
        <is>
          <t>9B2n</t>
        </is>
      </c>
      <c r="D376" s="2" t="inlineStr">
        <is>
          <t>聯亞(3081) ▲9.89%</t>
        </is>
      </c>
      <c r="E376" s="3" t="n">
        <v>84</v>
      </c>
      <c r="F376" s="3" t="n">
        <v>60</v>
      </c>
      <c r="G376" s="3" t="n">
        <v>25773</v>
      </c>
      <c r="H376" s="3" t="n">
        <v>18384</v>
      </c>
      <c r="I376" s="3" t="n">
        <v>7389</v>
      </c>
      <c r="J376" s="4" t="n">
        <v>3068.23</v>
      </c>
      <c r="K376" s="4" t="n">
        <v>3063.98</v>
      </c>
      <c r="L376" s="5">
        <f>F376*(K376-J376)</f>
        <v/>
      </c>
    </row>
    <row r="377" ht="16.5" customHeight="1">
      <c r="D377" s="2" t="inlineStr">
        <is>
          <t>群創(3481) ▲9.91%</t>
        </is>
      </c>
      <c r="E377" s="3" t="n">
        <v>4049</v>
      </c>
      <c r="F377" s="3" t="n">
        <v>476</v>
      </c>
      <c r="G377" s="3" t="n">
        <v>14066</v>
      </c>
      <c r="H377" s="3" t="n">
        <v>1663</v>
      </c>
      <c r="I377" s="3" t="n">
        <v>12403</v>
      </c>
      <c r="J377" s="4" t="n">
        <v>34.74</v>
      </c>
      <c r="K377" s="4" t="n">
        <v>34.94</v>
      </c>
      <c r="L377" s="6">
        <f>F377*(K377-J377)</f>
        <v/>
      </c>
    </row>
    <row r="378" ht="16.5" customHeight="1">
      <c r="D378" s="2" t="inlineStr">
        <is>
          <t>聯電(2303) ▲10.0%</t>
        </is>
      </c>
      <c r="E378" s="3" t="n">
        <v>962</v>
      </c>
      <c r="F378" s="3" t="n">
        <v>863</v>
      </c>
      <c r="G378" s="3" t="n">
        <v>9557</v>
      </c>
      <c r="H378" s="3" t="n">
        <v>8825</v>
      </c>
      <c r="I378" s="3" t="n">
        <v>732</v>
      </c>
      <c r="J378" s="4" t="n">
        <v>99.34999999999999</v>
      </c>
      <c r="K378" s="4" t="n">
        <v>102.26</v>
      </c>
      <c r="L378" s="6">
        <f>F378*(K378-J378)</f>
        <v/>
      </c>
    </row>
    <row r="379" ht="16.5" customHeight="1">
      <c r="D379" s="2" t="inlineStr">
        <is>
          <t>友達(2409) ▲9.81%</t>
        </is>
      </c>
      <c r="E379" s="3" t="n">
        <v>3806</v>
      </c>
      <c r="F379" s="3" t="n">
        <v>3887</v>
      </c>
      <c r="G379" s="3" t="n">
        <v>7878</v>
      </c>
      <c r="H379" s="3" t="n">
        <v>8046</v>
      </c>
      <c r="I379" s="3" t="n">
        <v>-168</v>
      </c>
      <c r="J379" s="4" t="n">
        <v>20.7</v>
      </c>
      <c r="K379" s="4" t="n">
        <v>20.7</v>
      </c>
      <c r="L379" s="6">
        <f>F379*(K379-J379)</f>
        <v/>
      </c>
    </row>
    <row r="380" ht="16.5" customHeight="1">
      <c r="D380" s="2" t="inlineStr">
        <is>
          <t>尖點(8021) ▲9.91%</t>
        </is>
      </c>
      <c r="E380" s="3" t="n">
        <v>75</v>
      </c>
      <c r="F380" s="3" t="n">
        <v>0</v>
      </c>
      <c r="G380" s="3" t="n">
        <v>3525</v>
      </c>
      <c r="H380" s="3" t="n">
        <v>0</v>
      </c>
      <c r="I380" s="3" t="n">
        <v>3525</v>
      </c>
      <c r="J380" s="4" t="n">
        <v>470</v>
      </c>
      <c r="K380" s="4" t="n">
        <v>0</v>
      </c>
      <c r="L380" s="6">
        <f>F380*(K380-J380)</f>
        <v/>
      </c>
    </row>
    <row r="381" ht="16.5" customHeight="1">
      <c r="D381" s="2" t="inlineStr">
        <is>
          <t>聯鈞(3450) ▲9.93%</t>
        </is>
      </c>
      <c r="E381" s="3" t="n">
        <v>15</v>
      </c>
      <c r="F381" s="3" t="n">
        <v>30</v>
      </c>
      <c r="G381" s="3" t="n">
        <v>710</v>
      </c>
      <c r="H381" s="3" t="n">
        <v>1403</v>
      </c>
      <c r="I381" s="3" t="n">
        <v>-693</v>
      </c>
      <c r="J381" s="4" t="n">
        <v>473.33</v>
      </c>
      <c r="K381" s="4" t="n">
        <v>467.63</v>
      </c>
      <c r="L381" s="5">
        <f>F381*(K381-J381)</f>
        <v/>
      </c>
    </row>
    <row r="382" ht="16.5" customHeight="1">
      <c r="D382" s="2" t="inlineStr">
        <is>
          <t>崇越電(3388) ▲10.0%</t>
        </is>
      </c>
      <c r="E382" s="3" t="n">
        <v>52</v>
      </c>
      <c r="F382" s="3" t="n">
        <v>1</v>
      </c>
      <c r="G382" s="3" t="n">
        <v>627</v>
      </c>
      <c r="H382" s="3" t="n">
        <v>12</v>
      </c>
      <c r="I382" s="3" t="n">
        <v>615</v>
      </c>
      <c r="J382" s="4" t="n">
        <v>120.5</v>
      </c>
      <c r="K382" s="4" t="n">
        <v>122</v>
      </c>
      <c r="L382" s="6">
        <f>F382*(K382-J382)</f>
        <v/>
      </c>
    </row>
    <row r="383" ht="16.5" customHeight="1">
      <c r="D383" s="2" t="inlineStr">
        <is>
          <t>祥碩(5269) ▲9.71%</t>
        </is>
      </c>
      <c r="E383" s="3" t="n">
        <v>2</v>
      </c>
      <c r="F383" s="3" t="n">
        <v>7</v>
      </c>
      <c r="G383" s="3" t="n">
        <v>295</v>
      </c>
      <c r="H383" s="3" t="n">
        <v>1049</v>
      </c>
      <c r="I383" s="3" t="n">
        <v>-754</v>
      </c>
      <c r="J383" s="4" t="n">
        <v>1474.5</v>
      </c>
      <c r="K383" s="4" t="n">
        <v>1498</v>
      </c>
      <c r="L383" s="6">
        <f>F383*(K383-J383)</f>
        <v/>
      </c>
    </row>
    <row r="384" ht="16.5" customHeight="1">
      <c r="D384" s="2" t="inlineStr">
        <is>
          <t>華新科(2492) ▲9.91%</t>
        </is>
      </c>
      <c r="E384" s="3" t="n">
        <v>8</v>
      </c>
      <c r="F384" s="3" t="n">
        <v>37</v>
      </c>
      <c r="G384" s="3" t="n">
        <v>142</v>
      </c>
      <c r="H384" s="3" t="n">
        <v>697</v>
      </c>
      <c r="I384" s="3" t="n">
        <v>-555</v>
      </c>
      <c r="J384" s="4" t="n">
        <v>177.5</v>
      </c>
      <c r="K384" s="4" t="n">
        <v>188.46</v>
      </c>
      <c r="L384" s="6">
        <f>F384*(K384-J384)</f>
        <v/>
      </c>
    </row>
    <row r="385" ht="16.5" customHeight="1">
      <c r="D385" s="2" t="inlineStr">
        <is>
          <t>彩晶(6116) ▲9.68%</t>
        </is>
      </c>
      <c r="E385" s="3" t="n">
        <v>99</v>
      </c>
      <c r="F385" s="3" t="n">
        <v>388</v>
      </c>
      <c r="G385" s="3" t="n">
        <v>105</v>
      </c>
      <c r="H385" s="3" t="n">
        <v>413</v>
      </c>
      <c r="I385" s="3" t="n">
        <v>-308</v>
      </c>
      <c r="J385" s="4" t="n">
        <v>10.65</v>
      </c>
      <c r="K385" s="4" t="n">
        <v>10.65</v>
      </c>
      <c r="L385" s="6">
        <f>F385*(K385-J385)</f>
        <v/>
      </c>
    </row>
    <row r="386" ht="16.5" customHeight="1">
      <c r="B386" s="1" t="inlineStr">
        <is>
          <t>分點</t>
        </is>
      </c>
      <c r="C386" s="1" t="inlineStr">
        <is>
          <t>代號</t>
        </is>
      </c>
      <c r="D386" s="1" t="inlineStr">
        <is>
          <t>標的</t>
        </is>
      </c>
      <c r="E386" s="1" t="inlineStr">
        <is>
          <t>買進(張)</t>
        </is>
      </c>
      <c r="F386" s="1" t="inlineStr">
        <is>
          <t>賣出(張)</t>
        </is>
      </c>
      <c r="G386" s="1" t="inlineStr">
        <is>
          <t>買進(萬元)</t>
        </is>
      </c>
      <c r="H386" s="1" t="inlineStr">
        <is>
          <t>賣出(萬元)</t>
        </is>
      </c>
      <c r="I386" s="1" t="inlineStr">
        <is>
          <t>淨買差(萬元)</t>
        </is>
      </c>
      <c r="J386" s="1" t="inlineStr">
        <is>
          <t>買均</t>
        </is>
      </c>
      <c r="K386" s="1" t="inlineStr">
        <is>
          <t>賣均</t>
        </is>
      </c>
      <c r="L386" s="1" t="inlineStr">
        <is>
          <t>損益(萬)</t>
        </is>
      </c>
    </row>
    <row r="387" ht="16.5" customHeight="1">
      <c r="B387" s="1" t="inlineStr">
        <is>
          <t>元大-館前</t>
        </is>
      </c>
      <c r="C387" s="1" t="inlineStr">
        <is>
          <t>984K</t>
        </is>
      </c>
      <c r="D387" s="2" t="inlineStr">
        <is>
          <t>聯電(2303) ▲10.0%</t>
        </is>
      </c>
      <c r="E387" s="3" t="n">
        <v>1349</v>
      </c>
      <c r="F387" s="3" t="n">
        <v>1622</v>
      </c>
      <c r="G387" s="3" t="n">
        <v>13739</v>
      </c>
      <c r="H387" s="3" t="n">
        <v>16482</v>
      </c>
      <c r="I387" s="3" t="n">
        <v>-2743</v>
      </c>
      <c r="J387" s="4" t="n">
        <v>101.85</v>
      </c>
      <c r="K387" s="4" t="n">
        <v>101.62</v>
      </c>
      <c r="L387" s="5">
        <f>F387*(K387-J387)</f>
        <v/>
      </c>
    </row>
    <row r="388" ht="16.5" customHeight="1">
      <c r="D388" s="2" t="inlineStr">
        <is>
          <t>友達(2409) ▲9.81%</t>
        </is>
      </c>
      <c r="E388" s="3" t="n">
        <v>3035</v>
      </c>
      <c r="F388" s="3" t="n">
        <v>3972</v>
      </c>
      <c r="G388" s="3" t="n">
        <v>6127</v>
      </c>
      <c r="H388" s="3" t="n">
        <v>8008</v>
      </c>
      <c r="I388" s="3" t="n">
        <v>-1881</v>
      </c>
      <c r="J388" s="4" t="n">
        <v>20.19</v>
      </c>
      <c r="K388" s="4" t="n">
        <v>20.16</v>
      </c>
      <c r="L388" s="5">
        <f>F388*(K388-J388)</f>
        <v/>
      </c>
    </row>
    <row r="389" ht="16.5" customHeight="1">
      <c r="D389" s="2" t="inlineStr">
        <is>
          <t>彩晶(6116) ▲9.68%</t>
        </is>
      </c>
      <c r="E389" s="3" t="n">
        <v>5021</v>
      </c>
      <c r="F389" s="3" t="n">
        <v>36</v>
      </c>
      <c r="G389" s="3" t="n">
        <v>5098</v>
      </c>
      <c r="H389" s="3" t="n">
        <v>37</v>
      </c>
      <c r="I389" s="3" t="n">
        <v>5061</v>
      </c>
      <c r="J389" s="4" t="n">
        <v>10.15</v>
      </c>
      <c r="K389" s="4" t="n">
        <v>10.33</v>
      </c>
      <c r="L389" s="6">
        <f>F389*(K389-J389)</f>
        <v/>
      </c>
    </row>
    <row r="390" ht="16.5" customHeight="1">
      <c r="D390" s="2" t="inlineStr">
        <is>
          <t>愛普*(6531) ▲9.67%</t>
        </is>
      </c>
      <c r="E390" s="3" t="n">
        <v>48</v>
      </c>
      <c r="F390" s="3" t="n">
        <v>31</v>
      </c>
      <c r="G390" s="3" t="n">
        <v>5086</v>
      </c>
      <c r="H390" s="3" t="n">
        <v>3245</v>
      </c>
      <c r="I390" s="3" t="n">
        <v>1841</v>
      </c>
      <c r="J390" s="4" t="n">
        <v>1059.52</v>
      </c>
      <c r="K390" s="4" t="n">
        <v>1046.71</v>
      </c>
      <c r="L390" s="5">
        <f>F390*(K390-J390)</f>
        <v/>
      </c>
    </row>
    <row r="391" ht="16.5" customHeight="1">
      <c r="D391" s="2" t="inlineStr">
        <is>
          <t>祥碩(5269) ▲9.71%</t>
        </is>
      </c>
      <c r="E391" s="3" t="n">
        <v>19</v>
      </c>
      <c r="F391" s="3" t="n">
        <v>32</v>
      </c>
      <c r="G391" s="3" t="n">
        <v>2931</v>
      </c>
      <c r="H391" s="3" t="n">
        <v>4876</v>
      </c>
      <c r="I391" s="3" t="n">
        <v>-1945</v>
      </c>
      <c r="J391" s="4" t="n">
        <v>1542.47</v>
      </c>
      <c r="K391" s="4" t="n">
        <v>1523.75</v>
      </c>
      <c r="L391" s="5">
        <f>F391*(K391-J391)</f>
        <v/>
      </c>
    </row>
    <row r="392" ht="16.5" customHeight="1">
      <c r="D392" s="2" t="inlineStr">
        <is>
          <t>元太(8069) ▲9.83%</t>
        </is>
      </c>
      <c r="E392" s="3" t="n">
        <v>142</v>
      </c>
      <c r="F392" s="3" t="n">
        <v>177</v>
      </c>
      <c r="G392" s="3" t="n">
        <v>2776</v>
      </c>
      <c r="H392" s="3" t="n">
        <v>3464</v>
      </c>
      <c r="I392" s="3" t="n">
        <v>-688</v>
      </c>
      <c r="J392" s="4" t="n">
        <v>195.52</v>
      </c>
      <c r="K392" s="4" t="n">
        <v>195.73</v>
      </c>
      <c r="L392" s="6">
        <f>F392*(K392-J392)</f>
        <v/>
      </c>
    </row>
    <row r="393" ht="16.5" customHeight="1">
      <c r="D393" s="2" t="inlineStr">
        <is>
          <t>凌航(3135) ▲9.77%</t>
        </is>
      </c>
      <c r="E393" s="3" t="n">
        <v>72</v>
      </c>
      <c r="F393" s="3" t="n">
        <v>149</v>
      </c>
      <c r="G393" s="3" t="n">
        <v>1536</v>
      </c>
      <c r="H393" s="3" t="n">
        <v>3146</v>
      </c>
      <c r="I393" s="3" t="n">
        <v>-1610</v>
      </c>
      <c r="J393" s="4" t="n">
        <v>213.4</v>
      </c>
      <c r="K393" s="4" t="n">
        <v>211.17</v>
      </c>
      <c r="L393" s="5">
        <f>F393*(K393-J393)</f>
        <v/>
      </c>
    </row>
    <row r="394" ht="16.5" customHeight="1">
      <c r="D394" s="2" t="inlineStr">
        <is>
          <t>國精化(4722) ▲10.0%</t>
        </is>
      </c>
      <c r="E394" s="3" t="n">
        <v>47</v>
      </c>
      <c r="F394" s="3" t="n">
        <v>4</v>
      </c>
      <c r="G394" s="3" t="n">
        <v>1213</v>
      </c>
      <c r="H394" s="3" t="n">
        <v>96</v>
      </c>
      <c r="I394" s="3" t="n">
        <v>1117</v>
      </c>
      <c r="J394" s="4" t="n">
        <v>258</v>
      </c>
      <c r="K394" s="4" t="n">
        <v>239.75</v>
      </c>
      <c r="L394" s="5">
        <f>F394*(K394-J394)</f>
        <v/>
      </c>
    </row>
    <row r="395" ht="16.5" customHeight="1">
      <c r="D395" s="2" t="inlineStr">
        <is>
          <t>聯鈞(3450) ▲9.93%</t>
        </is>
      </c>
      <c r="E395" s="3" t="n">
        <v>23</v>
      </c>
      <c r="F395" s="3" t="n">
        <v>53</v>
      </c>
      <c r="G395" s="3" t="n">
        <v>1086</v>
      </c>
      <c r="H395" s="3" t="n">
        <v>2508</v>
      </c>
      <c r="I395" s="3" t="n">
        <v>-1422</v>
      </c>
      <c r="J395" s="4" t="n">
        <v>472.04</v>
      </c>
      <c r="K395" s="4" t="n">
        <v>473.25</v>
      </c>
      <c r="L395" s="6">
        <f>F395*(K395-J395)</f>
        <v/>
      </c>
    </row>
    <row r="396" ht="16.5" customHeight="1">
      <c r="D396" s="2" t="inlineStr">
        <is>
          <t>蜜望實(8043) ▲9.92%</t>
        </is>
      </c>
      <c r="E396" s="3" t="n">
        <v>60</v>
      </c>
      <c r="F396" s="3" t="n">
        <v>11</v>
      </c>
      <c r="G396" s="3" t="n">
        <v>559</v>
      </c>
      <c r="H396" s="3" t="n">
        <v>102</v>
      </c>
      <c r="I396" s="3" t="n">
        <v>457</v>
      </c>
      <c r="J396" s="4" t="n">
        <v>93.09999999999999</v>
      </c>
      <c r="K396" s="4" t="n">
        <v>93.09</v>
      </c>
      <c r="L396" s="5">
        <f>F396*(K396-J396)</f>
        <v/>
      </c>
    </row>
    <row r="397" ht="16.5" customHeight="1">
      <c r="B397" s="1" t="inlineStr">
        <is>
          <t>分點</t>
        </is>
      </c>
      <c r="C397" s="1" t="inlineStr">
        <is>
          <t>代號</t>
        </is>
      </c>
      <c r="D397" s="1" t="inlineStr">
        <is>
          <t>標的</t>
        </is>
      </c>
      <c r="E397" s="1" t="inlineStr">
        <is>
          <t>買進(張)</t>
        </is>
      </c>
      <c r="F397" s="1" t="inlineStr">
        <is>
          <t>賣出(張)</t>
        </is>
      </c>
      <c r="G397" s="1" t="inlineStr">
        <is>
          <t>買進(萬元)</t>
        </is>
      </c>
      <c r="H397" s="1" t="inlineStr">
        <is>
          <t>賣出(萬元)</t>
        </is>
      </c>
      <c r="I397" s="1" t="inlineStr">
        <is>
          <t>淨買差(萬元)</t>
        </is>
      </c>
      <c r="J397" s="1" t="inlineStr">
        <is>
          <t>買均</t>
        </is>
      </c>
      <c r="K397" s="1" t="inlineStr">
        <is>
          <t>賣均</t>
        </is>
      </c>
      <c r="L397" s="1" t="inlineStr">
        <is>
          <t>損益(萬)</t>
        </is>
      </c>
    </row>
    <row r="398" ht="16.5" customHeight="1">
      <c r="B398" s="1" t="inlineStr">
        <is>
          <t>台新-文心</t>
        </is>
      </c>
      <c r="C398" s="1" t="inlineStr">
        <is>
          <t>9B2z</t>
        </is>
      </c>
      <c r="D398" s="2" t="inlineStr">
        <is>
          <t>群創(3481) ▲9.91%</t>
        </is>
      </c>
      <c r="E398" s="3" t="n">
        <v>219</v>
      </c>
      <c r="F398" s="3" t="n">
        <v>461</v>
      </c>
      <c r="G398" s="3" t="n">
        <v>755</v>
      </c>
      <c r="H398" s="3" t="n">
        <v>1608</v>
      </c>
      <c r="I398" s="3" t="n">
        <v>-853</v>
      </c>
      <c r="J398" s="4" t="n">
        <v>34.46</v>
      </c>
      <c r="K398" s="4" t="n">
        <v>34.89</v>
      </c>
      <c r="L398" s="6">
        <f>F398*(K398-J398)</f>
        <v/>
      </c>
    </row>
    <row r="399" ht="16.5" customHeight="1">
      <c r="D399" s="2" t="inlineStr">
        <is>
          <t>友達(2409) ▲9.81%</t>
        </is>
      </c>
      <c r="E399" s="3" t="n">
        <v>278</v>
      </c>
      <c r="F399" s="3" t="n">
        <v>442</v>
      </c>
      <c r="G399" s="3" t="n">
        <v>576</v>
      </c>
      <c r="H399" s="3" t="n">
        <v>915</v>
      </c>
      <c r="I399" s="3" t="n">
        <v>-339</v>
      </c>
      <c r="J399" s="4" t="n">
        <v>20.7</v>
      </c>
      <c r="K399" s="4" t="n">
        <v>20.7</v>
      </c>
      <c r="L399" s="6">
        <f>F399*(K399-J399)</f>
        <v/>
      </c>
    </row>
    <row r="400" ht="16.5" customHeight="1">
      <c r="D400" s="2" t="inlineStr">
        <is>
          <t>聯電(2303) ▲10.0%</t>
        </is>
      </c>
      <c r="E400" s="3" t="n">
        <v>42</v>
      </c>
      <c r="F400" s="3" t="n">
        <v>243</v>
      </c>
      <c r="G400" s="3" t="n">
        <v>409</v>
      </c>
      <c r="H400" s="3" t="n">
        <v>2473</v>
      </c>
      <c r="I400" s="3" t="n">
        <v>-2064</v>
      </c>
      <c r="J400" s="4" t="n">
        <v>97.45</v>
      </c>
      <c r="K400" s="4" t="n">
        <v>101.75</v>
      </c>
      <c r="L400" s="6">
        <f>F400*(K400-J400)</f>
        <v/>
      </c>
    </row>
    <row r="401" ht="16.5" customHeight="1">
      <c r="D401" s="2" t="inlineStr">
        <is>
          <t>大立光(3008) ▲9.82%</t>
        </is>
      </c>
      <c r="E401" s="3" t="n">
        <v>1</v>
      </c>
      <c r="F401" s="3" t="n">
        <v>6</v>
      </c>
      <c r="G401" s="3" t="n">
        <v>369</v>
      </c>
      <c r="H401" s="3" t="n">
        <v>1715</v>
      </c>
      <c r="I401" s="3" t="n">
        <v>-1346</v>
      </c>
      <c r="J401" s="4" t="n">
        <v>3692</v>
      </c>
      <c r="K401" s="4" t="n">
        <v>2858.83</v>
      </c>
      <c r="L401" s="5">
        <f>F401*(K401-J401)</f>
        <v/>
      </c>
    </row>
    <row r="402" ht="16.5" customHeight="1">
      <c r="D402" s="2" t="inlineStr">
        <is>
          <t>昇貿(3305) ▲9.83%</t>
        </is>
      </c>
      <c r="E402" s="3" t="n">
        <v>18</v>
      </c>
      <c r="F402" s="3" t="n">
        <v>47</v>
      </c>
      <c r="G402" s="3" t="n">
        <v>215</v>
      </c>
      <c r="H402" s="3" t="n">
        <v>595</v>
      </c>
      <c r="I402" s="3" t="n">
        <v>-380</v>
      </c>
      <c r="J402" s="4" t="n">
        <v>119.61</v>
      </c>
      <c r="K402" s="4" t="n">
        <v>126.66</v>
      </c>
      <c r="L402" s="6">
        <f>F402*(K402-J402)</f>
        <v/>
      </c>
    </row>
    <row r="403" ht="16.5" customHeight="1">
      <c r="D403" s="2" t="inlineStr">
        <is>
          <t>祥碩(5269) ▲9.71%</t>
        </is>
      </c>
      <c r="E403" s="3" t="n">
        <v>1</v>
      </c>
      <c r="F403" s="3" t="n">
        <v>5</v>
      </c>
      <c r="G403" s="3" t="n">
        <v>144</v>
      </c>
      <c r="H403" s="3" t="n">
        <v>785</v>
      </c>
      <c r="I403" s="3" t="n">
        <v>-641</v>
      </c>
      <c r="J403" s="4" t="n">
        <v>1440</v>
      </c>
      <c r="K403" s="4" t="n">
        <v>1570.8</v>
      </c>
      <c r="L403" s="6">
        <f>F403*(K403-J403)</f>
        <v/>
      </c>
    </row>
    <row r="404" ht="16.5" customHeight="1">
      <c r="D404" s="2" t="inlineStr">
        <is>
          <t>元太(8069) ▲9.83%</t>
        </is>
      </c>
      <c r="E404" s="3" t="n">
        <v>5</v>
      </c>
      <c r="F404" s="3" t="n">
        <v>34</v>
      </c>
      <c r="G404" s="3" t="n">
        <v>100</v>
      </c>
      <c r="H404" s="3" t="n">
        <v>665</v>
      </c>
      <c r="I404" s="3" t="n">
        <v>-565</v>
      </c>
      <c r="J404" s="4" t="n">
        <v>199</v>
      </c>
      <c r="K404" s="4" t="n">
        <v>195.47</v>
      </c>
      <c r="L404" s="5">
        <f>F404*(K404-J404)</f>
        <v/>
      </c>
    </row>
    <row r="405" ht="16.5" customHeight="1">
      <c r="D405" s="2" t="inlineStr">
        <is>
          <t>彩晶(6116) ▲9.68%</t>
        </is>
      </c>
      <c r="E405" s="3" t="n">
        <v>83</v>
      </c>
      <c r="F405" s="3" t="n">
        <v>127</v>
      </c>
      <c r="G405" s="3" t="n">
        <v>88</v>
      </c>
      <c r="H405" s="3" t="n">
        <v>135</v>
      </c>
      <c r="I405" s="3" t="n">
        <v>-47</v>
      </c>
      <c r="J405" s="4" t="n">
        <v>10.65</v>
      </c>
      <c r="K405" s="4" t="n">
        <v>10.65</v>
      </c>
      <c r="L405" s="6">
        <f>F405*(K405-J405)</f>
        <v/>
      </c>
    </row>
    <row r="406" ht="16.5" customHeight="1">
      <c r="D406" s="2" t="inlineStr">
        <is>
          <t>閎康(3587) ▲9.99%</t>
        </is>
      </c>
      <c r="E406" s="3" t="n">
        <v>1</v>
      </c>
      <c r="F406" s="3" t="n">
        <v>25</v>
      </c>
      <c r="G406" s="3" t="n">
        <v>50</v>
      </c>
      <c r="H406" s="3" t="n">
        <v>966</v>
      </c>
      <c r="I406" s="3" t="n">
        <v>-916</v>
      </c>
      <c r="J406" s="4" t="n">
        <v>499</v>
      </c>
      <c r="K406" s="4" t="n">
        <v>386.24</v>
      </c>
      <c r="L406" s="5">
        <f>F406*(K406-J406)</f>
        <v/>
      </c>
    </row>
    <row r="407" ht="16.5" customHeight="1">
      <c r="D407" s="2" t="inlineStr">
        <is>
          <t>萬潤(6187) ▲9.91%</t>
        </is>
      </c>
      <c r="E407" s="3" t="n">
        <v>1</v>
      </c>
      <c r="F407" s="3" t="n">
        <v>6</v>
      </c>
      <c r="G407" s="3" t="n">
        <v>1</v>
      </c>
      <c r="H407" s="3" t="n">
        <v>745</v>
      </c>
      <c r="I407" s="3" t="n">
        <v>-744</v>
      </c>
      <c r="J407" s="4" t="n">
        <v>12</v>
      </c>
      <c r="K407" s="4" t="n">
        <v>1242.17</v>
      </c>
      <c r="L407" s="6">
        <f>F407*(K407-J407)</f>
        <v/>
      </c>
    </row>
    <row r="408" ht="16.5" customHeight="1">
      <c r="A408" s="1" t="inlineStr">
        <is>
          <t>高手</t>
        </is>
      </c>
      <c r="B408" s="1" t="inlineStr">
        <is>
          <t>分點</t>
        </is>
      </c>
      <c r="C408" s="1" t="inlineStr">
        <is>
          <t>代號</t>
        </is>
      </c>
      <c r="D408" s="1" t="inlineStr">
        <is>
          <t>標的</t>
        </is>
      </c>
      <c r="E408" s="1" t="inlineStr">
        <is>
          <t>買進(張)</t>
        </is>
      </c>
      <c r="F408" s="1" t="inlineStr">
        <is>
          <t>賣出(張)</t>
        </is>
      </c>
      <c r="G408" s="1" t="inlineStr">
        <is>
          <t>買進(萬元)</t>
        </is>
      </c>
      <c r="H408" s="1" t="inlineStr">
        <is>
          <t>賣出(萬元)</t>
        </is>
      </c>
      <c r="I408" s="1" t="inlineStr">
        <is>
          <t>淨買差(萬元)</t>
        </is>
      </c>
      <c r="J408" s="1" t="inlineStr">
        <is>
          <t>買均</t>
        </is>
      </c>
      <c r="K408" s="1" t="inlineStr">
        <is>
          <t>賣均</t>
        </is>
      </c>
      <c r="L408" s="1" t="inlineStr">
        <is>
          <t>損益(萬)</t>
        </is>
      </c>
    </row>
    <row r="409" ht="16.5" customHeight="1">
      <c r="A409" s="1" t="inlineStr">
        <is>
          <t>蔣承翰</t>
        </is>
      </c>
      <c r="B409" s="1" t="inlineStr">
        <is>
          <t>凱基-城中</t>
        </is>
      </c>
      <c r="C409" s="1" t="inlineStr">
        <is>
          <t>9227</t>
        </is>
      </c>
      <c r="D409" s="2" t="inlineStr">
        <is>
          <t>群創(3481) ▲9.91%</t>
        </is>
      </c>
      <c r="E409" s="3" t="n">
        <v>22993</v>
      </c>
      <c r="F409" s="3" t="n">
        <v>502</v>
      </c>
      <c r="G409" s="3" t="n">
        <v>81467</v>
      </c>
      <c r="H409" s="3" t="n">
        <v>1745</v>
      </c>
      <c r="I409" s="3" t="n">
        <v>79722</v>
      </c>
      <c r="J409" s="4" t="n">
        <v>35.43</v>
      </c>
      <c r="K409" s="4" t="n">
        <v>34.76</v>
      </c>
      <c r="L409" s="5">
        <f>F409*(K409-J409)</f>
        <v/>
      </c>
    </row>
    <row r="410" ht="16.5" customHeight="1">
      <c r="D410" s="2" t="inlineStr">
        <is>
          <t>元太(8069) ▲9.83%</t>
        </is>
      </c>
      <c r="E410" s="3" t="n">
        <v>1975</v>
      </c>
      <c r="F410" s="3" t="n">
        <v>1335</v>
      </c>
      <c r="G410" s="3" t="n">
        <v>38619</v>
      </c>
      <c r="H410" s="3" t="n">
        <v>26092</v>
      </c>
      <c r="I410" s="3" t="n">
        <v>12527</v>
      </c>
      <c r="J410" s="4" t="n">
        <v>195.54</v>
      </c>
      <c r="K410" s="4" t="n">
        <v>195.44</v>
      </c>
      <c r="L410" s="5">
        <f>F410*(K410-J410)</f>
        <v/>
      </c>
    </row>
    <row r="411" ht="16.5" customHeight="1">
      <c r="D411" s="2" t="inlineStr">
        <is>
          <t>愛普*(6531) ▲9.67%</t>
        </is>
      </c>
      <c r="E411" s="3" t="n">
        <v>366</v>
      </c>
      <c r="F411" s="3" t="n">
        <v>19</v>
      </c>
      <c r="G411" s="3" t="n">
        <v>38567</v>
      </c>
      <c r="H411" s="3" t="n">
        <v>1877</v>
      </c>
      <c r="I411" s="3" t="n">
        <v>36690</v>
      </c>
      <c r="J411" s="4" t="n">
        <v>1053.74</v>
      </c>
      <c r="K411" s="4" t="n">
        <v>987.6799999999999</v>
      </c>
      <c r="L411" s="5">
        <f>F411*(K411-J411)</f>
        <v/>
      </c>
    </row>
    <row r="412" ht="16.5" customHeight="1">
      <c r="D412" s="2" t="inlineStr">
        <is>
          <t>眾達-KY(4977) ▲9.96%</t>
        </is>
      </c>
      <c r="E412" s="3" t="n">
        <v>961</v>
      </c>
      <c r="F412" s="3" t="n">
        <v>17</v>
      </c>
      <c r="G412" s="3" t="n">
        <v>25988</v>
      </c>
      <c r="H412" s="3" t="n">
        <v>439</v>
      </c>
      <c r="I412" s="3" t="n">
        <v>25549</v>
      </c>
      <c r="J412" s="4" t="n">
        <v>270.42</v>
      </c>
      <c r="K412" s="4" t="n">
        <v>258.29</v>
      </c>
      <c r="L412" s="5">
        <f>F412*(K412-J412)</f>
        <v/>
      </c>
    </row>
    <row r="413" ht="16.5" customHeight="1">
      <c r="D413" s="2" t="inlineStr">
        <is>
          <t>聯電(2303) ▲10.0%</t>
        </is>
      </c>
      <c r="E413" s="3" t="n">
        <v>1562</v>
      </c>
      <c r="F413" s="3" t="n">
        <v>194</v>
      </c>
      <c r="G413" s="3" t="n">
        <v>16270</v>
      </c>
      <c r="H413" s="3" t="n">
        <v>1958</v>
      </c>
      <c r="I413" s="3" t="n">
        <v>14312</v>
      </c>
      <c r="J413" s="4" t="n">
        <v>104.16</v>
      </c>
      <c r="K413" s="4" t="n">
        <v>100.95</v>
      </c>
      <c r="L413" s="5">
        <f>F413*(K413-J413)</f>
        <v/>
      </c>
    </row>
    <row r="414" ht="16.5" customHeight="1">
      <c r="D414" s="2" t="inlineStr">
        <is>
          <t>光環(3234) ▲9.74%</t>
        </is>
      </c>
      <c r="E414" s="3" t="n">
        <v>1310</v>
      </c>
      <c r="F414" s="3" t="n">
        <v>6</v>
      </c>
      <c r="G414" s="3" t="n">
        <v>14013</v>
      </c>
      <c r="H414" s="3" t="n">
        <v>62</v>
      </c>
      <c r="I414" s="3" t="n">
        <v>13951</v>
      </c>
      <c r="J414" s="4" t="n">
        <v>106.97</v>
      </c>
      <c r="K414" s="4" t="n">
        <v>102.83</v>
      </c>
      <c r="L414" s="5">
        <f>F414*(K414-J414)</f>
        <v/>
      </c>
    </row>
    <row r="415" ht="16.5" customHeight="1">
      <c r="D415" s="2" t="inlineStr">
        <is>
          <t>蔚華科(3055) ▲10.0%</t>
        </is>
      </c>
      <c r="E415" s="3" t="n">
        <v>733</v>
      </c>
      <c r="F415" s="3" t="n">
        <v>367</v>
      </c>
      <c r="G415" s="3" t="n">
        <v>8063</v>
      </c>
      <c r="H415" s="3" t="n">
        <v>4020</v>
      </c>
      <c r="I415" s="3" t="n">
        <v>4043</v>
      </c>
      <c r="J415" s="4" t="n">
        <v>110</v>
      </c>
      <c r="K415" s="4" t="n">
        <v>109.52</v>
      </c>
      <c r="L415" s="5">
        <f>F415*(K415-J415)</f>
        <v/>
      </c>
    </row>
    <row r="416" ht="16.5" customHeight="1">
      <c r="D416" s="2" t="inlineStr">
        <is>
          <t>三晃(1721) ▲9.89%</t>
        </is>
      </c>
      <c r="E416" s="3" t="n">
        <v>2318</v>
      </c>
      <c r="F416" s="3" t="n">
        <v>7</v>
      </c>
      <c r="G416" s="3" t="n">
        <v>7977</v>
      </c>
      <c r="H416" s="3" t="n">
        <v>23</v>
      </c>
      <c r="I416" s="3" t="n">
        <v>7954</v>
      </c>
      <c r="J416" s="4" t="n">
        <v>34.42</v>
      </c>
      <c r="K416" s="4" t="n">
        <v>33.14</v>
      </c>
      <c r="L416" s="5">
        <f>F416*(K416-J416)</f>
        <v/>
      </c>
    </row>
    <row r="417" ht="16.5" customHeight="1">
      <c r="D417" s="2" t="inlineStr">
        <is>
          <t>旺矽(6223) ▲9.93%</t>
        </is>
      </c>
      <c r="E417" s="3" t="n">
        <v>10</v>
      </c>
      <c r="F417" s="3" t="n">
        <v>1</v>
      </c>
      <c r="G417" s="3" t="n">
        <v>5452</v>
      </c>
      <c r="H417" s="3" t="n">
        <v>44</v>
      </c>
      <c r="I417" s="3" t="n">
        <v>5408</v>
      </c>
      <c r="J417" s="4" t="n">
        <v>5451.5</v>
      </c>
      <c r="K417" s="4" t="n">
        <v>438</v>
      </c>
      <c r="L417" s="5">
        <f>F417*(K417-J417)</f>
        <v/>
      </c>
    </row>
    <row r="418" ht="16.5" customHeight="1">
      <c r="D418" s="2" t="inlineStr">
        <is>
          <t>鼎炫-KY(8499) ▲9.86%</t>
        </is>
      </c>
      <c r="E418" s="3" t="n">
        <v>144</v>
      </c>
      <c r="F418" s="3" t="n">
        <v>0</v>
      </c>
      <c r="G418" s="3" t="n">
        <v>4414</v>
      </c>
      <c r="H418" s="3" t="n">
        <v>0</v>
      </c>
      <c r="I418" s="3" t="n">
        <v>4414</v>
      </c>
      <c r="J418" s="4" t="n">
        <v>306.53</v>
      </c>
      <c r="K418" s="4" t="n">
        <v>0</v>
      </c>
      <c r="L418" s="6">
        <f>F418*(K418-J418)</f>
        <v/>
      </c>
    </row>
    <row r="419" ht="16.5" customHeight="1">
      <c r="B419" s="1" t="inlineStr">
        <is>
          <t>分點</t>
        </is>
      </c>
      <c r="C419" s="1" t="inlineStr">
        <is>
          <t>代號</t>
        </is>
      </c>
      <c r="D419" s="1" t="inlineStr">
        <is>
          <t>標的</t>
        </is>
      </c>
      <c r="E419" s="1" t="inlineStr">
        <is>
          <t>買進(張)</t>
        </is>
      </c>
      <c r="F419" s="1" t="inlineStr">
        <is>
          <t>賣出(張)</t>
        </is>
      </c>
      <c r="G419" s="1" t="inlineStr">
        <is>
          <t>買進(萬元)</t>
        </is>
      </c>
      <c r="H419" s="1" t="inlineStr">
        <is>
          <t>賣出(萬元)</t>
        </is>
      </c>
      <c r="I419" s="1" t="inlineStr">
        <is>
          <t>淨買差(萬元)</t>
        </is>
      </c>
      <c r="J419" s="1" t="inlineStr">
        <is>
          <t>買均</t>
        </is>
      </c>
      <c r="K419" s="1" t="inlineStr">
        <is>
          <t>賣均</t>
        </is>
      </c>
      <c r="L419" s="1" t="inlineStr">
        <is>
          <t>損益(萬)</t>
        </is>
      </c>
    </row>
    <row r="420" ht="16.5" customHeight="1">
      <c r="B420" s="1" t="inlineStr">
        <is>
          <t>台新-建北</t>
        </is>
      </c>
      <c r="C420" s="1" t="inlineStr">
        <is>
          <t>9B18</t>
        </is>
      </c>
      <c r="D420" s="2" t="inlineStr">
        <is>
          <t>大立光(3008) ▲9.82%</t>
        </is>
      </c>
      <c r="E420" s="3" t="n">
        <v>25</v>
      </c>
      <c r="F420" s="3" t="n">
        <v>21</v>
      </c>
      <c r="G420" s="3" t="n">
        <v>6973</v>
      </c>
      <c r="H420" s="3" t="n">
        <v>5872</v>
      </c>
      <c r="I420" s="3" t="n">
        <v>1101</v>
      </c>
      <c r="J420" s="4" t="n">
        <v>2789.12</v>
      </c>
      <c r="K420" s="4" t="n">
        <v>2796.33</v>
      </c>
      <c r="L420" s="6">
        <f>F420*(K420-J420)</f>
        <v/>
      </c>
    </row>
    <row r="421" ht="16.5" customHeight="1">
      <c r="D421" s="2" t="inlineStr">
        <is>
          <t>聯電(2303) ▲10.0%</t>
        </is>
      </c>
      <c r="E421" s="3" t="n">
        <v>453</v>
      </c>
      <c r="F421" s="3" t="n">
        <v>175</v>
      </c>
      <c r="G421" s="3" t="n">
        <v>4676</v>
      </c>
      <c r="H421" s="3" t="n">
        <v>1749</v>
      </c>
      <c r="I421" s="3" t="n">
        <v>2927</v>
      </c>
      <c r="J421" s="4" t="n">
        <v>103.23</v>
      </c>
      <c r="K421" s="4" t="n">
        <v>99.94</v>
      </c>
      <c r="L421" s="5">
        <f>F421*(K421-J421)</f>
        <v/>
      </c>
    </row>
    <row r="422" ht="16.5" customHeight="1">
      <c r="D422" s="2" t="inlineStr">
        <is>
          <t>聯鈞(3450) ▲9.93%</t>
        </is>
      </c>
      <c r="E422" s="3" t="n">
        <v>70</v>
      </c>
      <c r="F422" s="3" t="n">
        <v>29</v>
      </c>
      <c r="G422" s="3" t="n">
        <v>3291</v>
      </c>
      <c r="H422" s="3" t="n">
        <v>1361</v>
      </c>
      <c r="I422" s="3" t="n">
        <v>1930</v>
      </c>
      <c r="J422" s="4" t="n">
        <v>470.11</v>
      </c>
      <c r="K422" s="4" t="n">
        <v>469.24</v>
      </c>
      <c r="L422" s="5">
        <f>F422*(K422-J422)</f>
        <v/>
      </c>
    </row>
    <row r="423" ht="16.5" customHeight="1">
      <c r="D423" s="2" t="inlineStr">
        <is>
          <t>祥碩(5269) ▲9.71%</t>
        </is>
      </c>
      <c r="E423" s="3" t="n">
        <v>18</v>
      </c>
      <c r="F423" s="3" t="n">
        <v>5</v>
      </c>
      <c r="G423" s="3" t="n">
        <v>2700</v>
      </c>
      <c r="H423" s="3" t="n">
        <v>792</v>
      </c>
      <c r="I423" s="3" t="n">
        <v>1908</v>
      </c>
      <c r="J423" s="4" t="n">
        <v>1500.06</v>
      </c>
      <c r="K423" s="4" t="n">
        <v>1583.8</v>
      </c>
      <c r="L423" s="6">
        <f>F423*(K423-J423)</f>
        <v/>
      </c>
    </row>
    <row r="424" ht="16.5" customHeight="1">
      <c r="D424" s="2" t="inlineStr">
        <is>
          <t>萬潤(6187) ▲9.91%</t>
        </is>
      </c>
      <c r="E424" s="3" t="n">
        <v>13</v>
      </c>
      <c r="F424" s="3" t="n">
        <v>4</v>
      </c>
      <c r="G424" s="3" t="n">
        <v>1593</v>
      </c>
      <c r="H424" s="3" t="n">
        <v>496</v>
      </c>
      <c r="I424" s="3" t="n">
        <v>1097</v>
      </c>
      <c r="J424" s="4" t="n">
        <v>1225.46</v>
      </c>
      <c r="K424" s="4" t="n">
        <v>1239.25</v>
      </c>
      <c r="L424" s="6">
        <f>F424*(K424-J424)</f>
        <v/>
      </c>
    </row>
    <row r="425" ht="16.5" customHeight="1">
      <c r="D425" s="2" t="inlineStr">
        <is>
          <t>昇貿(3305) ▲9.83%</t>
        </is>
      </c>
      <c r="E425" s="3" t="n">
        <v>118</v>
      </c>
      <c r="F425" s="3" t="n">
        <v>13</v>
      </c>
      <c r="G425" s="3" t="n">
        <v>1506</v>
      </c>
      <c r="H425" s="3" t="n">
        <v>167</v>
      </c>
      <c r="I425" s="3" t="n">
        <v>1339</v>
      </c>
      <c r="J425" s="4" t="n">
        <v>127.58</v>
      </c>
      <c r="K425" s="4" t="n">
        <v>128.69</v>
      </c>
      <c r="L425" s="6">
        <f>F425*(K425-J425)</f>
        <v/>
      </c>
    </row>
    <row r="426" ht="16.5" customHeight="1">
      <c r="D426" s="2" t="inlineStr">
        <is>
          <t>沛亨(6291) ▲9.86%</t>
        </is>
      </c>
      <c r="E426" s="3" t="n">
        <v>26</v>
      </c>
      <c r="F426" s="3" t="n">
        <v>2</v>
      </c>
      <c r="G426" s="3" t="n">
        <v>1347</v>
      </c>
      <c r="H426" s="3" t="n">
        <v>103</v>
      </c>
      <c r="I426" s="3" t="n">
        <v>1244</v>
      </c>
      <c r="J426" s="4" t="n">
        <v>518</v>
      </c>
      <c r="K426" s="4" t="n">
        <v>514</v>
      </c>
      <c r="L426" s="5">
        <f>F426*(K426-J426)</f>
        <v/>
      </c>
    </row>
    <row r="427" ht="16.5" customHeight="1">
      <c r="D427" s="2" t="inlineStr">
        <is>
          <t>群創(3481) ▲9.91%</t>
        </is>
      </c>
      <c r="E427" s="3" t="n">
        <v>332</v>
      </c>
      <c r="F427" s="3" t="n">
        <v>570</v>
      </c>
      <c r="G427" s="3" t="n">
        <v>1148</v>
      </c>
      <c r="H427" s="3" t="n">
        <v>1990</v>
      </c>
      <c r="I427" s="3" t="n">
        <v>-842</v>
      </c>
      <c r="J427" s="4" t="n">
        <v>34.59</v>
      </c>
      <c r="K427" s="4" t="n">
        <v>34.91</v>
      </c>
      <c r="L427" s="6">
        <f>F427*(K427-J427)</f>
        <v/>
      </c>
    </row>
    <row r="428" ht="16.5" customHeight="1">
      <c r="D428" s="2" t="inlineStr">
        <is>
          <t>聯亞(3081) ▲9.89%</t>
        </is>
      </c>
      <c r="E428" s="3" t="n">
        <v>3</v>
      </c>
      <c r="F428" s="3" t="n">
        <v>1</v>
      </c>
      <c r="G428" s="3" t="n">
        <v>935</v>
      </c>
      <c r="H428" s="3" t="n">
        <v>158</v>
      </c>
      <c r="I428" s="3" t="n">
        <v>777</v>
      </c>
      <c r="J428" s="4" t="n">
        <v>3117.33</v>
      </c>
      <c r="K428" s="4" t="n">
        <v>1580</v>
      </c>
      <c r="L428" s="5">
        <f>F428*(K428-J428)</f>
        <v/>
      </c>
    </row>
    <row r="429" ht="16.5" customHeight="1">
      <c r="D429" s="2" t="inlineStr">
        <is>
          <t>友達(2409) ▲9.81%</t>
        </is>
      </c>
      <c r="E429" s="3" t="n">
        <v>260</v>
      </c>
      <c r="F429" s="3" t="n">
        <v>2019</v>
      </c>
      <c r="G429" s="3" t="n">
        <v>510</v>
      </c>
      <c r="H429" s="3" t="n">
        <v>4030</v>
      </c>
      <c r="I429" s="3" t="n">
        <v>-3520</v>
      </c>
      <c r="J429" s="4" t="n">
        <v>19.6</v>
      </c>
      <c r="K429" s="4" t="n">
        <v>19.96</v>
      </c>
      <c r="L429" s="6">
        <f>F429*(K429-J429)</f>
        <v/>
      </c>
    </row>
    <row r="430" ht="16.5" customHeight="1">
      <c r="A430" s="1" t="inlineStr">
        <is>
          <t>高手</t>
        </is>
      </c>
      <c r="B430" s="1" t="inlineStr">
        <is>
          <t>分點</t>
        </is>
      </c>
      <c r="C430" s="1" t="inlineStr">
        <is>
          <t>代號</t>
        </is>
      </c>
      <c r="D430" s="1" t="inlineStr">
        <is>
          <t>標的</t>
        </is>
      </c>
      <c r="E430" s="1" t="inlineStr">
        <is>
          <t>買進(張)</t>
        </is>
      </c>
      <c r="F430" s="1" t="inlineStr">
        <is>
          <t>賣出(張)</t>
        </is>
      </c>
      <c r="G430" s="1" t="inlineStr">
        <is>
          <t>買進(萬元)</t>
        </is>
      </c>
      <c r="H430" s="1" t="inlineStr">
        <is>
          <t>賣出(萬元)</t>
        </is>
      </c>
      <c r="I430" s="1" t="inlineStr">
        <is>
          <t>淨買差(萬元)</t>
        </is>
      </c>
      <c r="J430" s="1" t="inlineStr">
        <is>
          <t>買均</t>
        </is>
      </c>
      <c r="K430" s="1" t="inlineStr">
        <is>
          <t>賣均</t>
        </is>
      </c>
      <c r="L430" s="1" t="inlineStr">
        <is>
          <t>損益(萬)</t>
        </is>
      </c>
    </row>
    <row r="431" ht="16.5" customHeight="1">
      <c r="A431" s="1" t="inlineStr">
        <is>
          <t>大牌分析師</t>
        </is>
      </c>
      <c r="B431" s="1" t="inlineStr">
        <is>
          <t>新光-新竹</t>
        </is>
      </c>
      <c r="C431" s="1" t="inlineStr">
        <is>
          <t>8563</t>
        </is>
      </c>
      <c r="D431" s="2" t="inlineStr">
        <is>
          <t>群聯(8299)</t>
        </is>
      </c>
      <c r="E431" s="3" t="n">
        <v>38</v>
      </c>
      <c r="F431" s="3" t="n">
        <v>28</v>
      </c>
      <c r="G431" s="3" t="n">
        <v>10309</v>
      </c>
      <c r="H431" s="3" t="n">
        <v>7728</v>
      </c>
      <c r="I431" s="3" t="n">
        <v>2581</v>
      </c>
      <c r="J431" s="4" t="n">
        <v>2712.92</v>
      </c>
      <c r="K431" s="4" t="n">
        <v>2760.18</v>
      </c>
      <c r="L431" s="6">
        <f>F431*(K431-J431)</f>
        <v/>
      </c>
    </row>
    <row r="432" ht="16.5" customHeight="1">
      <c r="D432" s="2" t="inlineStr">
        <is>
          <t>主動統一升級50(00403A)</t>
        </is>
      </c>
      <c r="E432" s="3" t="n">
        <v>7911</v>
      </c>
      <c r="F432" s="3" t="n">
        <v>2000</v>
      </c>
      <c r="G432" s="3" t="n">
        <v>8490</v>
      </c>
      <c r="H432" s="3" t="n">
        <v>2156</v>
      </c>
      <c r="I432" s="3" t="n">
        <v>6334</v>
      </c>
      <c r="J432" s="4" t="n">
        <v>10.73</v>
      </c>
      <c r="K432" s="4" t="n">
        <v>10.78</v>
      </c>
      <c r="L432" s="6">
        <f>F432*(K432-J432)</f>
        <v/>
      </c>
    </row>
    <row r="433" ht="16.5" customHeight="1">
      <c r="D433" s="2" t="inlineStr">
        <is>
          <t>南亞科(2408)</t>
        </is>
      </c>
      <c r="E433" s="3" t="n">
        <v>257</v>
      </c>
      <c r="F433" s="3" t="n">
        <v>227</v>
      </c>
      <c r="G433" s="3" t="n">
        <v>8251</v>
      </c>
      <c r="H433" s="3" t="n">
        <v>7290</v>
      </c>
      <c r="I433" s="3" t="n">
        <v>961</v>
      </c>
      <c r="J433" s="4" t="n">
        <v>321.04</v>
      </c>
      <c r="K433" s="4" t="n">
        <v>321.15</v>
      </c>
      <c r="L433" s="6">
        <f>F433*(K433-J433)</f>
        <v/>
      </c>
    </row>
    <row r="434" ht="16.5" customHeight="1">
      <c r="D434" s="2" t="inlineStr">
        <is>
          <t>台積電(2330)</t>
        </is>
      </c>
      <c r="E434" s="3" t="n">
        <v>35</v>
      </c>
      <c r="F434" s="3" t="n">
        <v>43</v>
      </c>
      <c r="G434" s="3" t="n">
        <v>7958</v>
      </c>
      <c r="H434" s="3" t="n">
        <v>9694</v>
      </c>
      <c r="I434" s="3" t="n">
        <v>-1736</v>
      </c>
      <c r="J434" s="4" t="n">
        <v>2273.8</v>
      </c>
      <c r="K434" s="4" t="n">
        <v>2254.44</v>
      </c>
      <c r="L434" s="5">
        <f>F434*(K434-J434)</f>
        <v/>
      </c>
    </row>
    <row r="435" ht="16.5" customHeight="1">
      <c r="D435" s="2" t="inlineStr">
        <is>
          <t>創意(3443)</t>
        </is>
      </c>
      <c r="E435" s="3" t="n">
        <v>12</v>
      </c>
      <c r="F435" s="3" t="n">
        <v>8</v>
      </c>
      <c r="G435" s="3" t="n">
        <v>6465</v>
      </c>
      <c r="H435" s="3" t="n">
        <v>4597</v>
      </c>
      <c r="I435" s="3" t="n">
        <v>1868</v>
      </c>
      <c r="J435" s="4" t="n">
        <v>5387.83</v>
      </c>
      <c r="K435" s="4" t="n">
        <v>5746.12</v>
      </c>
      <c r="L435" s="6">
        <f>F435*(K435-J435)</f>
        <v/>
      </c>
    </row>
    <row r="436" ht="16.5" customHeight="1">
      <c r="D436" s="2" t="inlineStr">
        <is>
          <t>南電(8046)</t>
        </is>
      </c>
      <c r="E436" s="3" t="n">
        <v>71</v>
      </c>
      <c r="F436" s="3" t="n">
        <v>63</v>
      </c>
      <c r="G436" s="3" t="n">
        <v>6423</v>
      </c>
      <c r="H436" s="3" t="n">
        <v>5713</v>
      </c>
      <c r="I436" s="3" t="n">
        <v>710</v>
      </c>
      <c r="J436" s="4" t="n">
        <v>904.7</v>
      </c>
      <c r="K436" s="4" t="n">
        <v>906.79</v>
      </c>
      <c r="L436" s="6">
        <f>F436*(K436-J436)</f>
        <v/>
      </c>
    </row>
    <row r="437" ht="16.5" customHeight="1">
      <c r="D437" s="2" t="inlineStr">
        <is>
          <t>華邦電(2344)</t>
        </is>
      </c>
      <c r="E437" s="3" t="n">
        <v>432</v>
      </c>
      <c r="F437" s="3" t="n">
        <v>668</v>
      </c>
      <c r="G437" s="3" t="n">
        <v>5158</v>
      </c>
      <c r="H437" s="3" t="n">
        <v>7981</v>
      </c>
      <c r="I437" s="3" t="n">
        <v>-2823</v>
      </c>
      <c r="J437" s="4" t="n">
        <v>119.39</v>
      </c>
      <c r="K437" s="4" t="n">
        <v>119.48</v>
      </c>
      <c r="L437" s="6">
        <f>F437*(K437-J437)</f>
        <v/>
      </c>
    </row>
    <row r="438" ht="16.5" customHeight="1">
      <c r="D438" s="2" t="inlineStr">
        <is>
          <t>穩懋(3105)</t>
        </is>
      </c>
      <c r="E438" s="3" t="n">
        <v>91</v>
      </c>
      <c r="F438" s="3" t="n">
        <v>57</v>
      </c>
      <c r="G438" s="3" t="n">
        <v>4670</v>
      </c>
      <c r="H438" s="3" t="n">
        <v>2916</v>
      </c>
      <c r="I438" s="3" t="n">
        <v>1754</v>
      </c>
      <c r="J438" s="4" t="n">
        <v>513.2</v>
      </c>
      <c r="K438" s="4" t="n">
        <v>511.56</v>
      </c>
      <c r="L438" s="5">
        <f>F438*(K438-J438)</f>
        <v/>
      </c>
    </row>
    <row r="439" ht="16.5" customHeight="1">
      <c r="D439" s="2" t="inlineStr">
        <is>
          <t>矽格(6257)</t>
        </is>
      </c>
      <c r="E439" s="3" t="n">
        <v>201</v>
      </c>
      <c r="F439" s="3" t="n">
        <v>156</v>
      </c>
      <c r="G439" s="3" t="n">
        <v>4240</v>
      </c>
      <c r="H439" s="3" t="n">
        <v>3298</v>
      </c>
      <c r="I439" s="3" t="n">
        <v>942</v>
      </c>
      <c r="J439" s="4" t="n">
        <v>210.97</v>
      </c>
      <c r="K439" s="4" t="n">
        <v>211.41</v>
      </c>
      <c r="L439" s="6">
        <f>F439*(K439-J439)</f>
        <v/>
      </c>
    </row>
    <row r="440" ht="16.5" customHeight="1">
      <c r="D440" s="2" t="inlineStr">
        <is>
          <t>群創(3481)</t>
        </is>
      </c>
      <c r="E440" s="3" t="n">
        <v>1061</v>
      </c>
      <c r="F440" s="3" t="n">
        <v>1300</v>
      </c>
      <c r="G440" s="3" t="n">
        <v>3673</v>
      </c>
      <c r="H440" s="3" t="n">
        <v>4543</v>
      </c>
      <c r="I440" s="3" t="n">
        <v>-870</v>
      </c>
      <c r="J440" s="4" t="n">
        <v>34.62</v>
      </c>
      <c r="K440" s="4" t="n">
        <v>34.95</v>
      </c>
      <c r="L440" s="6">
        <f>F440*(K440-J440)</f>
        <v/>
      </c>
    </row>
    <row r="441" ht="16.5" customHeight="1">
      <c r="A441" s="1" t="inlineStr">
        <is>
          <t>高手</t>
        </is>
      </c>
      <c r="B441" s="1" t="inlineStr">
        <is>
          <t>分點</t>
        </is>
      </c>
      <c r="C441" s="1" t="inlineStr">
        <is>
          <t>代號</t>
        </is>
      </c>
      <c r="D441" s="1" t="inlineStr">
        <is>
          <t>標的</t>
        </is>
      </c>
      <c r="E441" s="1" t="inlineStr">
        <is>
          <t>買進(張)</t>
        </is>
      </c>
      <c r="F441" s="1" t="inlineStr">
        <is>
          <t>賣出(張)</t>
        </is>
      </c>
      <c r="G441" s="1" t="inlineStr">
        <is>
          <t>買進(萬元)</t>
        </is>
      </c>
      <c r="H441" s="1" t="inlineStr">
        <is>
          <t>賣出(萬元)</t>
        </is>
      </c>
      <c r="I441" s="1" t="inlineStr">
        <is>
          <t>淨買差(萬元)</t>
        </is>
      </c>
      <c r="J441" s="1" t="inlineStr">
        <is>
          <t>買均</t>
        </is>
      </c>
      <c r="K441" s="1" t="inlineStr">
        <is>
          <t>賣均</t>
        </is>
      </c>
      <c r="L441" s="1" t="inlineStr">
        <is>
          <t>損益(萬)</t>
        </is>
      </c>
    </row>
    <row r="442" ht="16.5" customHeight="1">
      <c r="A442" s="1" t="inlineStr">
        <is>
          <t>竹科主力分點</t>
        </is>
      </c>
      <c r="B442" s="1" t="inlineStr">
        <is>
          <t>兆豐-新竹</t>
        </is>
      </c>
      <c r="C442" s="1" t="inlineStr">
        <is>
          <t>700V</t>
        </is>
      </c>
      <c r="D442" s="2" t="inlineStr">
        <is>
          <t>聯鈞(3450)</t>
        </is>
      </c>
      <c r="E442" s="3" t="n">
        <v>605</v>
      </c>
      <c r="F442" s="3" t="n">
        <v>11</v>
      </c>
      <c r="G442" s="3" t="n">
        <v>28397</v>
      </c>
      <c r="H442" s="3" t="n">
        <v>515</v>
      </c>
      <c r="I442" s="3" t="n">
        <v>27882</v>
      </c>
      <c r="J442" s="4" t="n">
        <v>469.38</v>
      </c>
      <c r="K442" s="4" t="n">
        <v>468</v>
      </c>
      <c r="L442" s="5">
        <f>F442*(K442-J442)</f>
        <v/>
      </c>
    </row>
    <row r="443" ht="16.5" customHeight="1">
      <c r="D443" s="2" t="inlineStr">
        <is>
          <t>南亞科(2408)</t>
        </is>
      </c>
      <c r="E443" s="3" t="n">
        <v>356</v>
      </c>
      <c r="F443" s="3" t="n">
        <v>299</v>
      </c>
      <c r="G443" s="3" t="n">
        <v>11189</v>
      </c>
      <c r="H443" s="3" t="n">
        <v>9438</v>
      </c>
      <c r="I443" s="3" t="n">
        <v>1751</v>
      </c>
      <c r="J443" s="4" t="n">
        <v>314.31</v>
      </c>
      <c r="K443" s="4" t="n">
        <v>315.64</v>
      </c>
      <c r="L443" s="6">
        <f>F443*(K443-J443)</f>
        <v/>
      </c>
    </row>
    <row r="444" ht="16.5" customHeight="1">
      <c r="D444" s="2" t="inlineStr">
        <is>
          <t>台積電(2330)</t>
        </is>
      </c>
      <c r="E444" s="3" t="n">
        <v>33</v>
      </c>
      <c r="F444" s="3" t="n">
        <v>17</v>
      </c>
      <c r="G444" s="3" t="n">
        <v>7334</v>
      </c>
      <c r="H444" s="3" t="n">
        <v>3739</v>
      </c>
      <c r="I444" s="3" t="n">
        <v>3595</v>
      </c>
      <c r="J444" s="4" t="n">
        <v>2222.58</v>
      </c>
      <c r="K444" s="4" t="n">
        <v>2199.41</v>
      </c>
      <c r="L444" s="5">
        <f>F444*(K444-J444)</f>
        <v/>
      </c>
    </row>
    <row r="445" ht="16.5" customHeight="1">
      <c r="D445" s="2" t="inlineStr">
        <is>
          <t>群聯(8299)</t>
        </is>
      </c>
      <c r="E445" s="3" t="n">
        <v>26</v>
      </c>
      <c r="F445" s="3" t="n">
        <v>17</v>
      </c>
      <c r="G445" s="3" t="n">
        <v>7076</v>
      </c>
      <c r="H445" s="3" t="n">
        <v>4710</v>
      </c>
      <c r="I445" s="3" t="n">
        <v>2366</v>
      </c>
      <c r="J445" s="4" t="n">
        <v>2721.46</v>
      </c>
      <c r="K445" s="4" t="n">
        <v>2770.41</v>
      </c>
      <c r="L445" s="6">
        <f>F445*(K445-J445)</f>
        <v/>
      </c>
    </row>
    <row r="446" ht="16.5" customHeight="1">
      <c r="D446" s="2" t="inlineStr">
        <is>
          <t>新代(7750)</t>
        </is>
      </c>
      <c r="E446" s="3" t="n">
        <v>0</v>
      </c>
      <c r="F446" s="3" t="n">
        <v>0</v>
      </c>
      <c r="G446" s="3" t="n">
        <v>4900</v>
      </c>
      <c r="H446" s="3" t="n">
        <v>8073</v>
      </c>
      <c r="I446" s="3" t="n">
        <v>-3173</v>
      </c>
      <c r="J446" s="4" t="n">
        <v>0</v>
      </c>
      <c r="K446" s="4" t="n">
        <v>0</v>
      </c>
      <c r="L446" s="6">
        <f>F446*(K446-J446)</f>
        <v/>
      </c>
    </row>
    <row r="447" ht="16.5" customHeight="1">
      <c r="D447" s="2" t="inlineStr">
        <is>
          <t>精材(3374)</t>
        </is>
      </c>
      <c r="E447" s="3" t="n">
        <v>190</v>
      </c>
      <c r="F447" s="3" t="n">
        <v>64</v>
      </c>
      <c r="G447" s="3" t="n">
        <v>4848</v>
      </c>
      <c r="H447" s="3" t="n">
        <v>1601</v>
      </c>
      <c r="I447" s="3" t="n">
        <v>3247</v>
      </c>
      <c r="J447" s="4" t="n">
        <v>255.17</v>
      </c>
      <c r="K447" s="4" t="n">
        <v>250.11</v>
      </c>
      <c r="L447" s="5">
        <f>F447*(K447-J447)</f>
        <v/>
      </c>
    </row>
    <row r="448" ht="16.5" customHeight="1">
      <c r="D448" s="2" t="inlineStr">
        <is>
          <t>主動統一升級50(00403A)</t>
        </is>
      </c>
      <c r="E448" s="3" t="n">
        <v>4317</v>
      </c>
      <c r="F448" s="3" t="n">
        <v>1209</v>
      </c>
      <c r="G448" s="3" t="n">
        <v>4644</v>
      </c>
      <c r="H448" s="3" t="n">
        <v>1298</v>
      </c>
      <c r="I448" s="3" t="n">
        <v>3346</v>
      </c>
      <c r="J448" s="4" t="n">
        <v>10.76</v>
      </c>
      <c r="K448" s="4" t="n">
        <v>10.74</v>
      </c>
      <c r="L448" s="5">
        <f>F448*(K448-J448)</f>
        <v/>
      </c>
    </row>
    <row r="449" ht="16.5" customHeight="1">
      <c r="D449" s="2" t="inlineStr">
        <is>
          <t>聯發科(2454)</t>
        </is>
      </c>
      <c r="E449" s="3" t="n">
        <v>10</v>
      </c>
      <c r="F449" s="3" t="n">
        <v>6</v>
      </c>
      <c r="G449" s="3" t="n">
        <v>3723</v>
      </c>
      <c r="H449" s="3" t="n">
        <v>2068</v>
      </c>
      <c r="I449" s="3" t="n">
        <v>1655</v>
      </c>
      <c r="J449" s="4" t="n">
        <v>3723</v>
      </c>
      <c r="K449" s="4" t="n">
        <v>3446.5</v>
      </c>
      <c r="L449" s="5">
        <f>F449*(K449-J449)</f>
        <v/>
      </c>
    </row>
    <row r="450" ht="16.5" customHeight="1">
      <c r="D450" s="2" t="inlineStr">
        <is>
          <t>穩懋(3105)</t>
        </is>
      </c>
      <c r="E450" s="3" t="n">
        <v>60</v>
      </c>
      <c r="F450" s="3" t="n">
        <v>27</v>
      </c>
      <c r="G450" s="3" t="n">
        <v>3142</v>
      </c>
      <c r="H450" s="3" t="n">
        <v>1436</v>
      </c>
      <c r="I450" s="3" t="n">
        <v>1706</v>
      </c>
      <c r="J450" s="4" t="n">
        <v>523.6</v>
      </c>
      <c r="K450" s="4" t="n">
        <v>531.7</v>
      </c>
      <c r="L450" s="6">
        <f>F450*(K450-J450)</f>
        <v/>
      </c>
    </row>
    <row r="451" ht="16.5" customHeight="1">
      <c r="D451" s="2" t="inlineStr">
        <is>
          <t>智邦(2345)</t>
        </is>
      </c>
      <c r="E451" s="3" t="n">
        <v>9</v>
      </c>
      <c r="F451" s="3" t="n">
        <v>5</v>
      </c>
      <c r="G451" s="3" t="n">
        <v>2183</v>
      </c>
      <c r="H451" s="3" t="n">
        <v>1299</v>
      </c>
      <c r="I451" s="3" t="n">
        <v>884</v>
      </c>
      <c r="J451" s="4" t="n">
        <v>2425.78</v>
      </c>
      <c r="K451" s="4" t="n">
        <v>2598.2</v>
      </c>
      <c r="L451" s="6">
        <f>F451*(K451-J451)</f>
        <v/>
      </c>
    </row>
    <row r="452" ht="16.5" customHeight="1">
      <c r="B452" s="1" t="inlineStr">
        <is>
          <t>分點</t>
        </is>
      </c>
      <c r="C452" s="1" t="inlineStr">
        <is>
          <t>代號</t>
        </is>
      </c>
      <c r="D452" s="1" t="inlineStr">
        <is>
          <t>標的</t>
        </is>
      </c>
      <c r="E452" s="1" t="inlineStr">
        <is>
          <t>買進(張)</t>
        </is>
      </c>
      <c r="F452" s="1" t="inlineStr">
        <is>
          <t>賣出(張)</t>
        </is>
      </c>
      <c r="G452" s="1" t="inlineStr">
        <is>
          <t>買進(萬元)</t>
        </is>
      </c>
      <c r="H452" s="1" t="inlineStr">
        <is>
          <t>賣出(萬元)</t>
        </is>
      </c>
      <c r="I452" s="1" t="inlineStr">
        <is>
          <t>淨買差(萬元)</t>
        </is>
      </c>
      <c r="J452" s="1" t="inlineStr">
        <is>
          <t>買均</t>
        </is>
      </c>
      <c r="K452" s="1" t="inlineStr">
        <is>
          <t>賣均</t>
        </is>
      </c>
      <c r="L452" s="1" t="inlineStr">
        <is>
          <t>損益(萬)</t>
        </is>
      </c>
    </row>
    <row r="453" ht="16.5" customHeight="1">
      <c r="B453" s="1" t="inlineStr">
        <is>
          <t>富邦-新竹</t>
        </is>
      </c>
      <c r="C453" s="1" t="inlineStr">
        <is>
          <t>9647</t>
        </is>
      </c>
      <c r="D453" s="2" t="inlineStr">
        <is>
          <t>群聯(8299)</t>
        </is>
      </c>
      <c r="E453" s="3" t="n">
        <v>118</v>
      </c>
      <c r="F453" s="3" t="n">
        <v>33</v>
      </c>
      <c r="G453" s="3" t="n">
        <v>32048</v>
      </c>
      <c r="H453" s="3" t="n">
        <v>8899</v>
      </c>
      <c r="I453" s="3" t="n">
        <v>23149</v>
      </c>
      <c r="J453" s="4" t="n">
        <v>2715.94</v>
      </c>
      <c r="K453" s="4" t="n">
        <v>2696.58</v>
      </c>
      <c r="L453" s="5">
        <f>F453*(K453-J453)</f>
        <v/>
      </c>
    </row>
    <row r="454" ht="16.5" customHeight="1">
      <c r="D454" s="2" t="inlineStr">
        <is>
          <t>聯鈞(3450)</t>
        </is>
      </c>
      <c r="E454" s="3" t="n">
        <v>344</v>
      </c>
      <c r="F454" s="3" t="n">
        <v>62</v>
      </c>
      <c r="G454" s="3" t="n">
        <v>16132</v>
      </c>
      <c r="H454" s="3" t="n">
        <v>2910</v>
      </c>
      <c r="I454" s="3" t="n">
        <v>13222</v>
      </c>
      <c r="J454" s="4" t="n">
        <v>468.95</v>
      </c>
      <c r="K454" s="4" t="n">
        <v>469.29</v>
      </c>
      <c r="L454" s="6">
        <f>F454*(K454-J454)</f>
        <v/>
      </c>
    </row>
    <row r="455" ht="16.5" customHeight="1">
      <c r="D455" s="2" t="inlineStr">
        <is>
          <t>聯發科(2454)</t>
        </is>
      </c>
      <c r="E455" s="3" t="n">
        <v>43</v>
      </c>
      <c r="F455" s="3" t="n">
        <v>12</v>
      </c>
      <c r="G455" s="3" t="n">
        <v>15961</v>
      </c>
      <c r="H455" s="3" t="n">
        <v>4346</v>
      </c>
      <c r="I455" s="3" t="n">
        <v>11615</v>
      </c>
      <c r="J455" s="4" t="n">
        <v>3711.81</v>
      </c>
      <c r="K455" s="4" t="n">
        <v>3621.83</v>
      </c>
      <c r="L455" s="5">
        <f>F455*(K455-J455)</f>
        <v/>
      </c>
    </row>
    <row r="456" ht="16.5" customHeight="1">
      <c r="D456" s="2" t="inlineStr">
        <is>
          <t>台積電(2330)</t>
        </is>
      </c>
      <c r="E456" s="3" t="n">
        <v>60</v>
      </c>
      <c r="F456" s="3" t="n">
        <v>106</v>
      </c>
      <c r="G456" s="3" t="n">
        <v>13619</v>
      </c>
      <c r="H456" s="3" t="n">
        <v>23856</v>
      </c>
      <c r="I456" s="3" t="n">
        <v>-10237</v>
      </c>
      <c r="J456" s="4" t="n">
        <v>2269.83</v>
      </c>
      <c r="K456" s="4" t="n">
        <v>2250.57</v>
      </c>
      <c r="L456" s="5">
        <f>F456*(K456-J456)</f>
        <v/>
      </c>
    </row>
    <row r="457" ht="16.5" customHeight="1">
      <c r="D457" s="2" t="inlineStr">
        <is>
          <t>主動統一升級50(00403A)</t>
        </is>
      </c>
      <c r="E457" s="3" t="n">
        <v>12528</v>
      </c>
      <c r="F457" s="3" t="n">
        <v>5086</v>
      </c>
      <c r="G457" s="3" t="n">
        <v>13450</v>
      </c>
      <c r="H457" s="3" t="n">
        <v>5470</v>
      </c>
      <c r="I457" s="3" t="n">
        <v>7980</v>
      </c>
      <c r="J457" s="4" t="n">
        <v>10.74</v>
      </c>
      <c r="K457" s="4" t="n">
        <v>10.76</v>
      </c>
      <c r="L457" s="6">
        <f>F457*(K457-J457)</f>
        <v/>
      </c>
    </row>
    <row r="458" ht="16.5" customHeight="1">
      <c r="D458" s="2" t="inlineStr">
        <is>
          <t>南亞科(2408)</t>
        </is>
      </c>
      <c r="E458" s="3" t="n">
        <v>306</v>
      </c>
      <c r="F458" s="3" t="n">
        <v>386</v>
      </c>
      <c r="G458" s="3" t="n">
        <v>9590</v>
      </c>
      <c r="H458" s="3" t="n">
        <v>12155</v>
      </c>
      <c r="I458" s="3" t="n">
        <v>-2565</v>
      </c>
      <c r="J458" s="4" t="n">
        <v>313.41</v>
      </c>
      <c r="K458" s="4" t="n">
        <v>314.9</v>
      </c>
      <c r="L458" s="6">
        <f>F458*(K458-J458)</f>
        <v/>
      </c>
    </row>
    <row r="459" ht="16.5" customHeight="1">
      <c r="D459" s="2" t="inlineStr">
        <is>
          <t>穩懋(3105)</t>
        </is>
      </c>
      <c r="E459" s="3" t="n">
        <v>124</v>
      </c>
      <c r="F459" s="3" t="n">
        <v>90</v>
      </c>
      <c r="G459" s="3" t="n">
        <v>6325</v>
      </c>
      <c r="H459" s="3" t="n">
        <v>4585</v>
      </c>
      <c r="I459" s="3" t="n">
        <v>1740</v>
      </c>
      <c r="J459" s="4" t="n">
        <v>510.06</v>
      </c>
      <c r="K459" s="4" t="n">
        <v>509.4</v>
      </c>
      <c r="L459" s="5">
        <f>F459*(K459-J459)</f>
        <v/>
      </c>
    </row>
    <row r="460" ht="16.5" customHeight="1">
      <c r="D460" s="2" t="inlineStr">
        <is>
          <t>華邦電(2344)</t>
        </is>
      </c>
      <c r="E460" s="3" t="n">
        <v>473</v>
      </c>
      <c r="F460" s="3" t="n">
        <v>608</v>
      </c>
      <c r="G460" s="3" t="n">
        <v>5643</v>
      </c>
      <c r="H460" s="3" t="n">
        <v>7273</v>
      </c>
      <c r="I460" s="3" t="n">
        <v>-1630</v>
      </c>
      <c r="J460" s="4" t="n">
        <v>119.29</v>
      </c>
      <c r="K460" s="4" t="n">
        <v>119.62</v>
      </c>
      <c r="L460" s="6">
        <f>F460*(K460-J460)</f>
        <v/>
      </c>
    </row>
    <row r="461" ht="16.5" customHeight="1">
      <c r="D461" s="2" t="inlineStr">
        <is>
          <t>華碩(2357)</t>
        </is>
      </c>
      <c r="E461" s="3" t="n">
        <v>72</v>
      </c>
      <c r="F461" s="3" t="n">
        <v>12</v>
      </c>
      <c r="G461" s="3" t="n">
        <v>4854</v>
      </c>
      <c r="H461" s="3" t="n">
        <v>805</v>
      </c>
      <c r="I461" s="3" t="n">
        <v>4049</v>
      </c>
      <c r="J461" s="4" t="n">
        <v>674.1</v>
      </c>
      <c r="K461" s="4" t="n">
        <v>671.08</v>
      </c>
      <c r="L461" s="5">
        <f>F461*(K461-J461)</f>
        <v/>
      </c>
    </row>
    <row r="462" ht="16.5" customHeight="1">
      <c r="D462" s="2" t="inlineStr">
        <is>
          <t>世芯-KY(3661)</t>
        </is>
      </c>
      <c r="E462" s="3" t="n">
        <v>9</v>
      </c>
      <c r="F462" s="3" t="n">
        <v>6</v>
      </c>
      <c r="G462" s="3" t="n">
        <v>4811</v>
      </c>
      <c r="H462" s="3" t="n">
        <v>3202</v>
      </c>
      <c r="I462" s="3" t="n">
        <v>1609</v>
      </c>
      <c r="J462" s="4" t="n">
        <v>5346</v>
      </c>
      <c r="K462" s="4" t="n">
        <v>5336.5</v>
      </c>
      <c r="L462" s="5">
        <f>F462*(K462-J462)</f>
        <v/>
      </c>
    </row>
  </sheetData>
  <mergeCells count="97">
    <mergeCell ref="B453:B462"/>
    <mergeCell ref="C189:C198"/>
    <mergeCell ref="B79:B88"/>
    <mergeCell ref="C387:C396"/>
    <mergeCell ref="C68:C77"/>
    <mergeCell ref="C310:C319"/>
    <mergeCell ref="B200:B209"/>
    <mergeCell ref="B90:B99"/>
    <mergeCell ref="A442:A462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42:B451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C145:C154"/>
    <mergeCell ref="C24:C33"/>
    <mergeCell ref="C266:C275"/>
    <mergeCell ref="A431:A440"/>
    <mergeCell ref="C156:C165"/>
    <mergeCell ref="B46:B55"/>
    <mergeCell ref="C79:C88"/>
    <mergeCell ref="B409:B418"/>
    <mergeCell ref="C90:C99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C442:C451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C211:C220"/>
    <mergeCell ref="C453:C462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2026-05-12T11:33:05Z</dcterms:created>
  <dcterms:modified xsi:type="dcterms:W3CDTF">2026-05-12T11:33:06Z</dcterms:modified>
</cp:coreProperties>
</file>