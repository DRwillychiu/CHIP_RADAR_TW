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  <sheet name="20260511" sheetId="2" state="visible" r:id="rId2"/>
    <sheet name="20260508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1033</v>
      </c>
      <c r="F102" s="14" t="n">
        <v>1114</v>
      </c>
      <c r="G102" s="14" t="n">
        <v>33149</v>
      </c>
      <c r="H102" s="14" t="n">
        <v>35770</v>
      </c>
      <c r="I102" s="14" t="n">
        <v>-2621</v>
      </c>
      <c r="J102" s="15" t="n">
        <v>320.9</v>
      </c>
      <c r="K102" s="15" t="n">
        <v>321.09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61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1761.39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174</v>
      </c>
      <c r="F106" s="14" t="n">
        <v>131</v>
      </c>
      <c r="G106" s="14" t="n">
        <v>8283</v>
      </c>
      <c r="H106" s="14" t="n">
        <v>6237</v>
      </c>
      <c r="I106" s="14" t="n">
        <v>2046</v>
      </c>
      <c r="J106" s="15" t="n">
        <v>476.02</v>
      </c>
      <c r="K106" s="15" t="n">
        <v>476.11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20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3777.75</v>
      </c>
      <c r="K107" s="15" t="n">
        <v>3835</v>
      </c>
      <c r="L107" s="16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28</v>
      </c>
      <c r="F118" s="14" t="n">
        <v>21</v>
      </c>
      <c r="G118" s="14" t="n">
        <v>1324</v>
      </c>
      <c r="H118" s="14" t="n">
        <v>1009</v>
      </c>
      <c r="I118" s="14" t="n">
        <v>315</v>
      </c>
      <c r="J118" s="15" t="n">
        <v>472.68</v>
      </c>
      <c r="K118" s="15" t="n">
        <v>480.57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71</v>
      </c>
      <c r="F128" s="14" t="n">
        <v>105</v>
      </c>
      <c r="G128" s="14" t="n">
        <v>2890</v>
      </c>
      <c r="H128" s="14" t="n">
        <v>4257</v>
      </c>
      <c r="I128" s="14" t="n">
        <v>-1367</v>
      </c>
      <c r="J128" s="15" t="n">
        <v>407.11</v>
      </c>
      <c r="K128" s="15" t="n">
        <v>405.39</v>
      </c>
      <c r="L128" s="17">
        <f>F128*(K128-J128)</f>
        <v/>
      </c>
    </row>
    <row r="129" ht="16.5" customHeight="1">
      <c r="D129" s="13" t="inlineStr">
        <is>
          <t>力旺(3529)</t>
        </is>
      </c>
      <c r="E129" s="14" t="n">
        <v>7</v>
      </c>
      <c r="F129" s="14" t="n">
        <v>6</v>
      </c>
      <c r="G129" s="14" t="n">
        <v>2710</v>
      </c>
      <c r="H129" s="14" t="n">
        <v>2302</v>
      </c>
      <c r="I129" s="14" t="n">
        <v>408</v>
      </c>
      <c r="J129" s="15" t="n">
        <v>3872</v>
      </c>
      <c r="K129" s="15" t="n">
        <v>3837</v>
      </c>
      <c r="L129" s="17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140</v>
      </c>
      <c r="F137" s="14" t="n">
        <v>55</v>
      </c>
      <c r="G137" s="14" t="n">
        <v>35424</v>
      </c>
      <c r="H137" s="14" t="n">
        <v>13813</v>
      </c>
      <c r="I137" s="14" t="n">
        <v>21611</v>
      </c>
      <c r="J137" s="15" t="n">
        <v>2530.28</v>
      </c>
      <c r="K137" s="15" t="n">
        <v>2511.51</v>
      </c>
      <c r="L137" s="17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119</v>
      </c>
      <c r="F139" s="14" t="n">
        <v>304</v>
      </c>
      <c r="G139" s="14" t="n">
        <v>26807</v>
      </c>
      <c r="H139" s="14" t="n">
        <v>68575</v>
      </c>
      <c r="I139" s="14" t="n">
        <v>-41768</v>
      </c>
      <c r="J139" s="15" t="n">
        <v>2252.68</v>
      </c>
      <c r="K139" s="15" t="n">
        <v>2255.76</v>
      </c>
      <c r="L139" s="16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43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5764.81</v>
      </c>
      <c r="K141" s="15" t="n">
        <v>5566</v>
      </c>
      <c r="L141" s="17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340</v>
      </c>
      <c r="F145" s="14" t="n">
        <v>10</v>
      </c>
      <c r="G145" s="14" t="n">
        <v>197019</v>
      </c>
      <c r="H145" s="14" t="n">
        <v>5996</v>
      </c>
      <c r="I145" s="14" t="n">
        <v>191023</v>
      </c>
      <c r="J145" s="15" t="n">
        <v>5794.67</v>
      </c>
      <c r="K145" s="15" t="n">
        <v>5995.7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122734</v>
      </c>
      <c r="H146" s="14" t="n">
        <v>1150</v>
      </c>
      <c r="I146" s="14" t="n">
        <v>121584</v>
      </c>
      <c r="J146" s="15" t="n">
        <v>2715.36</v>
      </c>
      <c r="K146" s="15" t="n">
        <v>328.43</v>
      </c>
      <c r="L146" s="17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105639</v>
      </c>
      <c r="H147" s="14" t="n">
        <v>11131</v>
      </c>
      <c r="I147" s="14" t="n">
        <v>94508</v>
      </c>
      <c r="J147" s="15" t="n">
        <v>377.28</v>
      </c>
      <c r="K147" s="15" t="n">
        <v>856.26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265</v>
      </c>
      <c r="F148" s="14" t="n">
        <v>5</v>
      </c>
      <c r="G148" s="14" t="n">
        <v>71088</v>
      </c>
      <c r="H148" s="14" t="n">
        <v>3456</v>
      </c>
      <c r="I148" s="14" t="n">
        <v>67632</v>
      </c>
      <c r="J148" s="15" t="n">
        <v>2682.58</v>
      </c>
      <c r="K148" s="15" t="n">
        <v>6912.4</v>
      </c>
      <c r="L148" s="16">
        <f>F148*(K148-J148)</f>
        <v/>
      </c>
    </row>
    <row r="149" ht="16.5" customHeight="1">
      <c r="D149" s="13" t="inlineStr">
        <is>
          <t>智邦(2345)</t>
        </is>
      </c>
      <c r="E149" s="14" t="n">
        <v>259</v>
      </c>
      <c r="F149" s="14" t="n">
        <v>30</v>
      </c>
      <c r="G149" s="14" t="n">
        <v>65398</v>
      </c>
      <c r="H149" s="14" t="n">
        <v>7575</v>
      </c>
      <c r="I149" s="14" t="n">
        <v>57823</v>
      </c>
      <c r="J149" s="15" t="n">
        <v>2525</v>
      </c>
      <c r="K149" s="15" t="n">
        <v>2525</v>
      </c>
      <c r="L149" s="16">
        <f>F149*(K149-J149)</f>
        <v/>
      </c>
    </row>
    <row r="150" ht="16.5" customHeight="1">
      <c r="D150" s="13" t="inlineStr">
        <is>
          <t>文曄(3036)</t>
        </is>
      </c>
      <c r="E150" s="14" t="n">
        <v>268</v>
      </c>
      <c r="F150" s="14" t="n">
        <v>31</v>
      </c>
      <c r="G150" s="14" t="n">
        <v>42396</v>
      </c>
      <c r="H150" s="14" t="n">
        <v>14879</v>
      </c>
      <c r="I150" s="14" t="n">
        <v>27517</v>
      </c>
      <c r="J150" s="15" t="n">
        <v>1581.94</v>
      </c>
      <c r="K150" s="15" t="n">
        <v>4799.68</v>
      </c>
      <c r="L150" s="16">
        <f>F150*(K150-J150)</f>
        <v/>
      </c>
    </row>
    <row r="151" ht="16.5" customHeight="1">
      <c r="D151" s="13" t="inlineStr">
        <is>
          <t>立隆電(2472)</t>
        </is>
      </c>
      <c r="E151" s="14" t="n">
        <v>1898</v>
      </c>
      <c r="F151" s="14" t="n">
        <v>18</v>
      </c>
      <c r="G151" s="14" t="n">
        <v>42325</v>
      </c>
      <c r="H151" s="14" t="n">
        <v>401</v>
      </c>
      <c r="I151" s="14" t="n">
        <v>41924</v>
      </c>
      <c r="J151" s="15" t="n">
        <v>223</v>
      </c>
      <c r="K151" s="15" t="n">
        <v>223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6134</v>
      </c>
      <c r="F152" s="14" t="n">
        <v>74</v>
      </c>
      <c r="G152" s="14" t="n">
        <v>38082</v>
      </c>
      <c r="H152" s="14" t="n">
        <v>14022</v>
      </c>
      <c r="I152" s="14" t="n">
        <v>24060</v>
      </c>
      <c r="J152" s="15" t="n">
        <v>62.08</v>
      </c>
      <c r="K152" s="15" t="n">
        <v>1894.91</v>
      </c>
      <c r="L152" s="16">
        <f>F152*(K152-J152)</f>
        <v/>
      </c>
    </row>
    <row r="153" ht="16.5" customHeight="1">
      <c r="D153" s="13" t="inlineStr">
        <is>
          <t>元太(8069)</t>
        </is>
      </c>
      <c r="E153" s="14" t="n">
        <v>1928</v>
      </c>
      <c r="F153" s="14" t="n">
        <v>167</v>
      </c>
      <c r="G153" s="14" t="n">
        <v>37684</v>
      </c>
      <c r="H153" s="14" t="n">
        <v>3264</v>
      </c>
      <c r="I153" s="14" t="n">
        <v>34420</v>
      </c>
      <c r="J153" s="15" t="n">
        <v>195.45</v>
      </c>
      <c r="K153" s="15" t="n">
        <v>195.47</v>
      </c>
      <c r="L153" s="16">
        <f>F153*(K153-J153)</f>
        <v/>
      </c>
    </row>
    <row r="154" ht="16.5" customHeight="1">
      <c r="D154" s="13" t="inlineStr">
        <is>
          <t>台積電(2330)</t>
        </is>
      </c>
      <c r="E154" s="14" t="n">
        <v>161</v>
      </c>
      <c r="F154" s="14" t="n">
        <v>104</v>
      </c>
      <c r="G154" s="14" t="n">
        <v>36253</v>
      </c>
      <c r="H154" s="14" t="n">
        <v>23388</v>
      </c>
      <c r="I154" s="14" t="n">
        <v>12865</v>
      </c>
      <c r="J154" s="15" t="n">
        <v>2251.75</v>
      </c>
      <c r="K154" s="15" t="n">
        <v>2248.82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27</v>
      </c>
      <c r="F159" s="14" t="n">
        <v>15</v>
      </c>
      <c r="G159" s="14" t="n">
        <v>14722</v>
      </c>
      <c r="H159" s="14" t="n">
        <v>7996</v>
      </c>
      <c r="I159" s="14" t="n">
        <v>6726</v>
      </c>
      <c r="J159" s="15" t="n">
        <v>5452.44</v>
      </c>
      <c r="K159" s="15" t="n">
        <v>5330.73</v>
      </c>
      <c r="L159" s="17">
        <f>F159*(K159-J159)</f>
        <v/>
      </c>
    </row>
    <row r="160" ht="16.5" customHeight="1">
      <c r="D160" s="13" t="inlineStr">
        <is>
          <t>創意(3443)</t>
        </is>
      </c>
      <c r="E160" s="14" t="n">
        <v>23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5505.78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21</v>
      </c>
      <c r="F161" s="14" t="n">
        <v>2</v>
      </c>
      <c r="G161" s="14" t="n">
        <v>12332</v>
      </c>
      <c r="H161" s="14" t="n">
        <v>1394</v>
      </c>
      <c r="I161" s="14" t="n">
        <v>10938</v>
      </c>
      <c r="J161" s="15" t="n">
        <v>5872.33</v>
      </c>
      <c r="K161" s="15" t="n">
        <v>6972.5</v>
      </c>
      <c r="L161" s="16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232</v>
      </c>
      <c r="F184" s="14" t="n">
        <v>175</v>
      </c>
      <c r="G184" s="14" t="n">
        <v>5811</v>
      </c>
      <c r="H184" s="14" t="n">
        <v>4376</v>
      </c>
      <c r="I184" s="14" t="n">
        <v>1435</v>
      </c>
      <c r="J184" s="15" t="n">
        <v>250.49</v>
      </c>
      <c r="K184" s="15" t="n">
        <v>250.08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20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5564.95</v>
      </c>
      <c r="K190" s="15" t="n">
        <v>5586.25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9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7103.22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39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660.03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10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5681</v>
      </c>
      <c r="K204" s="15" t="n">
        <v>5384.5</v>
      </c>
      <c r="L204" s="17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76</v>
      </c>
      <c r="F207" s="14" t="n">
        <v>65</v>
      </c>
      <c r="G207" s="14" t="n">
        <v>1980</v>
      </c>
      <c r="H207" s="14" t="n">
        <v>1701</v>
      </c>
      <c r="I207" s="14" t="n">
        <v>279</v>
      </c>
      <c r="J207" s="15" t="n">
        <v>260.59</v>
      </c>
      <c r="K207" s="15" t="n">
        <v>261.66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236</v>
      </c>
      <c r="F213" s="14" t="n">
        <v>205</v>
      </c>
      <c r="G213" s="14" t="n">
        <v>15547</v>
      </c>
      <c r="H213" s="14" t="n">
        <v>13487</v>
      </c>
      <c r="I213" s="14" t="n">
        <v>2060</v>
      </c>
      <c r="J213" s="15" t="n">
        <v>658.78</v>
      </c>
      <c r="K213" s="15" t="n">
        <v>657.91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50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2800.56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59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2368.73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23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3865.65</v>
      </c>
      <c r="K219" s="15" t="n">
        <v>3920.26</v>
      </c>
      <c r="L219" s="16">
        <f>F219*(K219-J219)</f>
        <v/>
      </c>
    </row>
    <row r="220" ht="16.5" customHeight="1">
      <c r="D220" s="13" t="inlineStr">
        <is>
          <t>奇鋐(3017)</t>
        </is>
      </c>
      <c r="E220" s="14" t="n">
        <v>35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2501.69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38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1276.21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177</v>
      </c>
      <c r="F225" s="14" t="n">
        <v>139</v>
      </c>
      <c r="G225" s="14" t="n">
        <v>4581</v>
      </c>
      <c r="H225" s="14" t="n">
        <v>3592</v>
      </c>
      <c r="I225" s="14" t="n">
        <v>989</v>
      </c>
      <c r="J225" s="15" t="n">
        <v>258.81</v>
      </c>
      <c r="K225" s="15" t="n">
        <v>258.42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9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3140.44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2026-05-12T10:36:38Z</dcterms:modified>
</cp:coreProperties>
</file>