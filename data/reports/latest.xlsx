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7" sheetId="1" state="visible" r:id="rId1"/>
    <sheet name="20260616" sheetId="2" state="visible" r:id="rId2"/>
    <sheet name="20260615" sheetId="3" state="visible" r:id="rId3"/>
    <sheet name="20260612" sheetId="4" state="visible" r:id="rId4"/>
    <sheet name="20260611" sheetId="5" state="visible" r:id="rId5"/>
    <sheet name="20260610" sheetId="6" state="visible" r:id="rId6"/>
    <sheet name="20260609" sheetId="7" state="visible" r:id="rId7"/>
    <sheet name="20260608" sheetId="8" state="visible" r:id="rId8"/>
    <sheet name="20260605" sheetId="9" state="visible" r:id="rId9"/>
    <sheet name="20260604" sheetId="10" state="visible" r:id="rId10"/>
    <sheet name="20260603" sheetId="11" state="visible" r:id="rId11"/>
    <sheet name="20260602" sheetId="12" state="visible" r:id="rId12"/>
    <sheet name="20260601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A5" s="7" t="n"/>
      <c r="B5" s="7" t="n"/>
      <c r="C5" s="7" t="n"/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A6" s="7" t="n"/>
      <c r="B6" s="7" t="n"/>
      <c r="C6" s="7" t="n"/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A7" s="7" t="n"/>
      <c r="B7" s="7" t="n"/>
      <c r="C7" s="7" t="n"/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A9" s="7" t="n"/>
      <c r="B9" s="7" t="n"/>
      <c r="C9" s="7" t="n"/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A15" s="7" t="n"/>
      <c r="B15" s="7" t="n"/>
      <c r="C15" s="7" t="n"/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A19" s="7" t="n"/>
      <c r="B19" s="7" t="n"/>
      <c r="C19" s="7" t="n"/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A26" s="7" t="n"/>
      <c r="B26" s="7" t="n"/>
      <c r="C26" s="7" t="n"/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A27" s="7" t="n"/>
      <c r="B27" s="7" t="n"/>
      <c r="C27" s="7" t="n"/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A28" s="7" t="n"/>
      <c r="B28" s="7" t="n"/>
      <c r="C28" s="7" t="n"/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A31" s="7" t="n"/>
      <c r="B31" s="7" t="n"/>
      <c r="C31" s="7" t="n"/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A32" s="7" t="n"/>
      <c r="B32" s="7" t="n"/>
      <c r="C32" s="7" t="n"/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A33" s="7" t="n"/>
      <c r="B33" s="7" t="n"/>
      <c r="C33" s="7" t="n"/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A36" s="16" t="n"/>
      <c r="B36" s="16" t="n"/>
      <c r="C36" s="16" t="n"/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A39" s="16" t="n"/>
      <c r="B39" s="16" t="n"/>
      <c r="C39" s="16" t="n"/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A40" s="16" t="n"/>
      <c r="B40" s="16" t="n"/>
      <c r="C40" s="16" t="n"/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A43" s="16" t="n"/>
      <c r="B43" s="16" t="n"/>
      <c r="C43" s="16" t="n"/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A48" s="16" t="n"/>
      <c r="B48" s="16" t="n"/>
      <c r="C48" s="16" t="n"/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A49" s="16" t="n"/>
      <c r="B49" s="16" t="n"/>
      <c r="C49" s="16" t="n"/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A54" s="16" t="n"/>
      <c r="B54" s="16" t="n"/>
      <c r="C54" s="16" t="n"/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A55" s="16" t="n"/>
      <c r="B55" s="16" t="n"/>
      <c r="C55" s="16" t="n"/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A58" s="16" t="n"/>
      <c r="B58" s="16" t="n"/>
      <c r="C58" s="16" t="n"/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A59" s="16" t="n"/>
      <c r="B59" s="16" t="n"/>
      <c r="C59" s="16" t="n"/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A60" s="16" t="n"/>
      <c r="B60" s="16" t="n"/>
      <c r="C60" s="16" t="n"/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A66" s="16" t="n"/>
      <c r="B66" s="16" t="n"/>
      <c r="C66" s="16" t="n"/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A76" s="16" t="n"/>
      <c r="B76" s="16" t="n"/>
      <c r="C76" s="16" t="n"/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A82" s="25" t="n"/>
      <c r="B82" s="25" t="n"/>
      <c r="C82" s="25" t="n"/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A96" s="25" t="n"/>
      <c r="B96" s="25" t="n"/>
      <c r="C96" s="25" t="n"/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A97" s="25" t="n"/>
      <c r="B97" s="25" t="n"/>
      <c r="C97" s="25" t="n"/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大立光(3008)</t>
        </is>
      </c>
      <c r="E189" s="31" t="n">
        <v>25</v>
      </c>
      <c r="F189" s="31" t="n">
        <v>24</v>
      </c>
      <c r="G189" s="31" t="n">
        <v>13023</v>
      </c>
      <c r="H189" s="31" t="n">
        <v>12271</v>
      </c>
      <c r="I189" s="31" t="n">
        <v>752</v>
      </c>
      <c r="J189" s="32" t="n">
        <v>5209.24</v>
      </c>
      <c r="K189" s="32" t="n">
        <v>5112.83</v>
      </c>
      <c r="L189" s="33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高力(8996)</t>
        </is>
      </c>
      <c r="E190" s="31" t="n">
        <v>75</v>
      </c>
      <c r="F190" s="31" t="n">
        <v>1</v>
      </c>
      <c r="G190" s="31" t="n">
        <v>10805</v>
      </c>
      <c r="H190" s="31" t="n">
        <v>46</v>
      </c>
      <c r="I190" s="31" t="n">
        <v>10759</v>
      </c>
      <c r="J190" s="32" t="n">
        <v>1440.68</v>
      </c>
      <c r="K190" s="32" t="n">
        <v>461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台積電(2330)</t>
        </is>
      </c>
      <c r="E191" s="31" t="n">
        <v>42</v>
      </c>
      <c r="F191" s="31" t="n">
        <v>1</v>
      </c>
      <c r="G191" s="31" t="n">
        <v>9856</v>
      </c>
      <c r="H191" s="31" t="n">
        <v>18</v>
      </c>
      <c r="I191" s="31" t="n">
        <v>9838</v>
      </c>
      <c r="J191" s="32" t="n">
        <v>2346.74</v>
      </c>
      <c r="K191" s="32" t="n">
        <v>178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全新(2455)</t>
        </is>
      </c>
      <c r="E192" s="31" t="n">
        <v>225</v>
      </c>
      <c r="F192" s="31" t="n">
        <v>56</v>
      </c>
      <c r="G192" s="31" t="n">
        <v>9484</v>
      </c>
      <c r="H192" s="31" t="n">
        <v>2300</v>
      </c>
      <c r="I192" s="31" t="n">
        <v>7184</v>
      </c>
      <c r="J192" s="32" t="n">
        <v>421.52</v>
      </c>
      <c r="K192" s="32" t="n">
        <v>410.71</v>
      </c>
      <c r="L192" s="33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合晶(6182)</t>
        </is>
      </c>
      <c r="E193" s="31" t="n">
        <v>777</v>
      </c>
      <c r="F193" s="31" t="n">
        <v>191</v>
      </c>
      <c r="G193" s="31" t="n">
        <v>8678</v>
      </c>
      <c r="H193" s="31" t="n">
        <v>2182</v>
      </c>
      <c r="I193" s="31" t="n">
        <v>6496</v>
      </c>
      <c r="J193" s="32" t="n">
        <v>111.69</v>
      </c>
      <c r="K193" s="32" t="n">
        <v>114.26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國巨*(2327)</t>
        </is>
      </c>
      <c r="E194" s="31" t="n">
        <v>62</v>
      </c>
      <c r="F194" s="31" t="n">
        <v>35</v>
      </c>
      <c r="G194" s="31" t="n">
        <v>6077</v>
      </c>
      <c r="H194" s="31" t="n">
        <v>3436</v>
      </c>
      <c r="I194" s="31" t="n">
        <v>2641</v>
      </c>
      <c r="J194" s="32" t="n">
        <v>980.15</v>
      </c>
      <c r="K194" s="32" t="n">
        <v>981.66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華邦電(2344)</t>
        </is>
      </c>
      <c r="E195" s="31" t="n">
        <v>224</v>
      </c>
      <c r="F195" s="31" t="n">
        <v>71</v>
      </c>
      <c r="G195" s="31" t="n">
        <v>4367</v>
      </c>
      <c r="H195" s="31" t="n">
        <v>1367</v>
      </c>
      <c r="I195" s="31" t="n">
        <v>3000</v>
      </c>
      <c r="J195" s="32" t="n">
        <v>194.95</v>
      </c>
      <c r="K195" s="32" t="n">
        <v>192.55</v>
      </c>
      <c r="L195" s="33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聯發科(2454)</t>
        </is>
      </c>
      <c r="E196" s="31" t="n">
        <v>10</v>
      </c>
      <c r="F196" s="31" t="n">
        <v>6</v>
      </c>
      <c r="G196" s="31" t="n">
        <v>4305</v>
      </c>
      <c r="H196" s="31" t="n">
        <v>2789</v>
      </c>
      <c r="I196" s="31" t="n">
        <v>1516</v>
      </c>
      <c r="J196" s="32" t="n">
        <v>4304.9</v>
      </c>
      <c r="K196" s="32" t="n">
        <v>4648.5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南亞科(2408)</t>
        </is>
      </c>
      <c r="E197" s="31" t="n">
        <v>96</v>
      </c>
      <c r="F197" s="31" t="n">
        <v>46</v>
      </c>
      <c r="G197" s="31" t="n">
        <v>4102</v>
      </c>
      <c r="H197" s="31" t="n">
        <v>1958</v>
      </c>
      <c r="I197" s="31" t="n">
        <v>2144</v>
      </c>
      <c r="J197" s="32" t="n">
        <v>427.3</v>
      </c>
      <c r="K197" s="32" t="n">
        <v>425.54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映泰(2399)</t>
        </is>
      </c>
      <c r="E198" s="31" t="n">
        <v>695</v>
      </c>
      <c r="F198" s="31" t="n">
        <v>104</v>
      </c>
      <c r="G198" s="31" t="n">
        <v>3645</v>
      </c>
      <c r="H198" s="31" t="n">
        <v>568</v>
      </c>
      <c r="I198" s="31" t="n">
        <v>3077</v>
      </c>
      <c r="J198" s="32" t="n">
        <v>52.44</v>
      </c>
      <c r="K198" s="32" t="n">
        <v>54.6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智伸科(4551)</t>
        </is>
      </c>
      <c r="E413" s="92" t="n">
        <v>23</v>
      </c>
      <c r="F413" s="92" t="n">
        <v>2</v>
      </c>
      <c r="G413" s="92" t="n">
        <v>461</v>
      </c>
      <c r="H413" s="92" t="n">
        <v>41</v>
      </c>
      <c r="I413" s="92" t="n">
        <v>420</v>
      </c>
      <c r="J413" s="93" t="n">
        <v>200.35</v>
      </c>
      <c r="K413" s="93" t="n">
        <v>206.5</v>
      </c>
      <c r="L413" s="96">
        <f>F413*(K413-J413)</f>
        <v/>
      </c>
    </row>
    <row r="414" ht="16.5" customHeight="1">
      <c r="A414" s="95" t="n"/>
      <c r="B414" s="95" t="n"/>
      <c r="C414" s="95" t="n"/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A415" s="95" t="n"/>
      <c r="B415" s="95" t="n"/>
      <c r="C415" s="95" t="n"/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A416" s="95" t="n"/>
      <c r="B416" s="95" t="n"/>
      <c r="C416" s="95" t="n"/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A417" s="95" t="n"/>
      <c r="B417" s="95" t="n"/>
      <c r="C417" s="95" t="n"/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A418" s="95" t="n"/>
      <c r="B418" s="95" t="n"/>
      <c r="C418" s="95" t="n"/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A426" s="95" t="n"/>
      <c r="B426" s="95" t="n"/>
      <c r="C426" s="95" t="n"/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2026-06-17T14:53:23Z</dcterms:modified>
</cp:coreProperties>
</file>