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2" sheetId="1" state="visible" r:id="rId1"/>
    <sheet name="20260521" sheetId="2" state="visible" r:id="rId2"/>
    <sheet name="20260520" sheetId="3" state="visible" r:id="rId3"/>
    <sheet name="20260519" sheetId="4" state="visible" r:id="rId4"/>
    <sheet name="20260518" sheetId="5" state="visible" r:id="rId5"/>
    <sheet name="20260515" sheetId="6" state="visible" r:id="rId6"/>
    <sheet name="20260514" sheetId="7" state="visible" r:id="rId7"/>
    <sheet name="20260513" sheetId="8" state="visible" r:id="rId8"/>
    <sheet name="20260512" sheetId="9" state="visible" r:id="rId9"/>
    <sheet name="20260511" sheetId="10" state="visible" r:id="rId10"/>
    <sheet name="20260508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元大S＆P500(00646)</t>
        </is>
      </c>
      <c r="E58" s="14" t="n">
        <v>4500</v>
      </c>
      <c r="F58" s="14" t="n">
        <v>0</v>
      </c>
      <c r="G58" s="14" t="n">
        <v>33378</v>
      </c>
      <c r="H58" s="14" t="n">
        <v>0</v>
      </c>
      <c r="I58" s="14" t="n">
        <v>33378</v>
      </c>
      <c r="J58" s="15" t="n">
        <v>74.17</v>
      </c>
      <c r="K58" s="15" t="n">
        <v>0</v>
      </c>
      <c r="L58" s="16">
        <f>F58*(K58-J58)</f>
        <v/>
      </c>
    </row>
    <row r="59" ht="16.5" customHeight="1">
      <c r="D59" s="13" t="inlineStr">
        <is>
          <t>世界(5347)</t>
        </is>
      </c>
      <c r="E59" s="14" t="n">
        <v>1203</v>
      </c>
      <c r="F59" s="14" t="n">
        <v>12</v>
      </c>
      <c r="G59" s="14" t="n">
        <v>19400</v>
      </c>
      <c r="H59" s="14" t="n">
        <v>195</v>
      </c>
      <c r="I59" s="14" t="n">
        <v>19205</v>
      </c>
      <c r="J59" s="15" t="n">
        <v>161.27</v>
      </c>
      <c r="K59" s="15" t="n">
        <v>162.25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236</v>
      </c>
      <c r="F60" s="14" t="n">
        <v>26</v>
      </c>
      <c r="G60" s="14" t="n">
        <v>11989</v>
      </c>
      <c r="H60" s="14" t="n">
        <v>1328</v>
      </c>
      <c r="I60" s="14" t="n">
        <v>10661</v>
      </c>
      <c r="J60" s="15" t="n">
        <v>508.01</v>
      </c>
      <c r="K60" s="15" t="n">
        <v>510.85</v>
      </c>
      <c r="L60" s="16">
        <f>F60*(K60-J60)</f>
        <v/>
      </c>
    </row>
    <row r="61" ht="16.5" customHeight="1">
      <c r="D61" s="13" t="inlineStr">
        <is>
          <t>金像電(2368)</t>
        </is>
      </c>
      <c r="E61" s="14" t="n">
        <v>79</v>
      </c>
      <c r="F61" s="14" t="n">
        <v>1</v>
      </c>
      <c r="G61" s="14" t="n">
        <v>10463</v>
      </c>
      <c r="H61" s="14" t="n">
        <v>3</v>
      </c>
      <c r="I61" s="14" t="n">
        <v>10460</v>
      </c>
      <c r="J61" s="15" t="n">
        <v>1324.39</v>
      </c>
      <c r="K61" s="15" t="n">
        <v>27</v>
      </c>
      <c r="L61" s="17">
        <f>F61*(K61-J61)</f>
        <v/>
      </c>
    </row>
    <row r="62" ht="16.5" customHeight="1">
      <c r="D62" s="13" t="inlineStr">
        <is>
          <t>南電(8046)</t>
        </is>
      </c>
      <c r="E62" s="14" t="n">
        <v>91</v>
      </c>
      <c r="F62" s="14" t="n">
        <v>8</v>
      </c>
      <c r="G62" s="14" t="n">
        <v>8623</v>
      </c>
      <c r="H62" s="14" t="n">
        <v>736</v>
      </c>
      <c r="I62" s="14" t="n">
        <v>7887</v>
      </c>
      <c r="J62" s="15" t="n">
        <v>947.59</v>
      </c>
      <c r="K62" s="15" t="n">
        <v>919.62</v>
      </c>
      <c r="L62" s="17">
        <f>F62*(K62-J62)</f>
        <v/>
      </c>
    </row>
    <row r="63" ht="16.5" customHeight="1">
      <c r="D63" s="13" t="inlineStr">
        <is>
          <t>南亞科(2408)</t>
        </is>
      </c>
      <c r="E63" s="14" t="n">
        <v>277</v>
      </c>
      <c r="F63" s="14" t="n">
        <v>76</v>
      </c>
      <c r="G63" s="14" t="n">
        <v>8378</v>
      </c>
      <c r="H63" s="14" t="n">
        <v>2395</v>
      </c>
      <c r="I63" s="14" t="n">
        <v>5983</v>
      </c>
      <c r="J63" s="15" t="n">
        <v>302.46</v>
      </c>
      <c r="K63" s="15" t="n">
        <v>315.08</v>
      </c>
      <c r="L63" s="16">
        <f>F63*(K63-J63)</f>
        <v/>
      </c>
    </row>
    <row r="64" ht="16.5" customHeight="1">
      <c r="D64" s="13" t="inlineStr">
        <is>
          <t>聯陽(3014)</t>
        </is>
      </c>
      <c r="E64" s="14" t="n">
        <v>387</v>
      </c>
      <c r="F64" s="14" t="n">
        <v>0</v>
      </c>
      <c r="G64" s="14" t="n">
        <v>5666</v>
      </c>
      <c r="H64" s="14" t="n">
        <v>0</v>
      </c>
      <c r="I64" s="14" t="n">
        <v>5666</v>
      </c>
      <c r="J64" s="15" t="n">
        <v>146.41</v>
      </c>
      <c r="K64" s="15" t="n">
        <v>0</v>
      </c>
      <c r="L64" s="16">
        <f>F64*(K64-J64)</f>
        <v/>
      </c>
    </row>
    <row r="65" ht="16.5" customHeight="1">
      <c r="D65" s="13" t="inlineStr">
        <is>
          <t>台達電(2308)</t>
        </is>
      </c>
      <c r="E65" s="14" t="n">
        <v>18</v>
      </c>
      <c r="F65" s="14" t="n">
        <v>1</v>
      </c>
      <c r="G65" s="14" t="n">
        <v>3821</v>
      </c>
      <c r="H65" s="14" t="n">
        <v>106</v>
      </c>
      <c r="I65" s="14" t="n">
        <v>3715</v>
      </c>
      <c r="J65" s="15" t="n">
        <v>2123</v>
      </c>
      <c r="K65" s="15" t="n">
        <v>1065</v>
      </c>
      <c r="L65" s="17">
        <f>F65*(K65-J65)</f>
        <v/>
      </c>
    </row>
    <row r="66" ht="16.5" customHeight="1">
      <c r="D66" s="13" t="inlineStr">
        <is>
          <t>聯電(2303)</t>
        </is>
      </c>
      <c r="E66" s="14" t="n">
        <v>228</v>
      </c>
      <c r="F66" s="14" t="n">
        <v>91</v>
      </c>
      <c r="G66" s="14" t="n">
        <v>2607</v>
      </c>
      <c r="H66" s="14" t="n">
        <v>1043</v>
      </c>
      <c r="I66" s="14" t="n">
        <v>1564</v>
      </c>
      <c r="J66" s="15" t="n">
        <v>114.36</v>
      </c>
      <c r="K66" s="15" t="n">
        <v>114.6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期街口布蘭特正2(00715L)</t>
        </is>
      </c>
      <c r="E98" s="14" t="n">
        <v>203</v>
      </c>
      <c r="F98" s="14" t="n">
        <v>0</v>
      </c>
      <c r="G98" s="14" t="n">
        <v>1265</v>
      </c>
      <c r="H98" s="14" t="n">
        <v>0</v>
      </c>
      <c r="I98" s="14" t="n">
        <v>1265</v>
      </c>
      <c r="J98" s="15" t="n">
        <v>62.3</v>
      </c>
      <c r="K98" s="15" t="n">
        <v>0</v>
      </c>
      <c r="L98" s="16">
        <f>F98*(K98-J98)</f>
        <v/>
      </c>
    </row>
    <row r="99" ht="16.5" customHeight="1">
      <c r="D99" s="13" t="inlineStr">
        <is>
          <t>鑫科(3663)</t>
        </is>
      </c>
      <c r="E99" s="14" t="n">
        <v>142</v>
      </c>
      <c r="F99" s="14" t="n">
        <v>113</v>
      </c>
      <c r="G99" s="14" t="n">
        <v>1234</v>
      </c>
      <c r="H99" s="14" t="n">
        <v>982</v>
      </c>
      <c r="I99" s="14" t="n">
        <v>252</v>
      </c>
      <c r="J99" s="15" t="n">
        <v>86.90000000000001</v>
      </c>
      <c r="K99" s="15" t="n">
        <v>86.90000000000001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元大台灣50正2(00631L)</t>
        </is>
      </c>
      <c r="E116" s="14" t="n">
        <v>553</v>
      </c>
      <c r="F116" s="14" t="n">
        <v>237</v>
      </c>
      <c r="G116" s="14" t="n">
        <v>1763</v>
      </c>
      <c r="H116" s="14" t="n">
        <v>761</v>
      </c>
      <c r="I116" s="14" t="n">
        <v>1002</v>
      </c>
      <c r="J116" s="15" t="n">
        <v>31.88</v>
      </c>
      <c r="K116" s="15" t="n">
        <v>32.12</v>
      </c>
      <c r="L116" s="16">
        <f>F116*(K116-J116)</f>
        <v/>
      </c>
    </row>
    <row r="117" ht="16.5" customHeight="1">
      <c r="D117" s="13" t="inlineStr">
        <is>
          <t>台積電(2330)</t>
        </is>
      </c>
      <c r="E117" s="14" t="n">
        <v>7</v>
      </c>
      <c r="F117" s="14" t="n">
        <v>4</v>
      </c>
      <c r="G117" s="14" t="n">
        <v>1516</v>
      </c>
      <c r="H117" s="14" t="n">
        <v>1008</v>
      </c>
      <c r="I117" s="14" t="n">
        <v>508</v>
      </c>
      <c r="J117" s="15" t="n">
        <v>2165.29</v>
      </c>
      <c r="K117" s="15" t="n">
        <v>2520.75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22</v>
      </c>
      <c r="F118" s="14" t="n">
        <v>11</v>
      </c>
      <c r="G118" s="14" t="n">
        <v>1375</v>
      </c>
      <c r="H118" s="14" t="n">
        <v>667</v>
      </c>
      <c r="I118" s="14" t="n">
        <v>708</v>
      </c>
      <c r="J118" s="15" t="n">
        <v>624.8200000000001</v>
      </c>
      <c r="K118" s="15" t="n">
        <v>606.36</v>
      </c>
      <c r="L118" s="17">
        <f>F118*(K118-J118)</f>
        <v/>
      </c>
    </row>
    <row r="119" ht="16.5" customHeight="1">
      <c r="D119" s="13" t="inlineStr">
        <is>
          <t>群創(3481)</t>
        </is>
      </c>
      <c r="E119" s="14" t="n">
        <v>301</v>
      </c>
      <c r="F119" s="14" t="n">
        <v>42</v>
      </c>
      <c r="G119" s="14" t="n">
        <v>1296</v>
      </c>
      <c r="H119" s="14" t="n">
        <v>187</v>
      </c>
      <c r="I119" s="14" t="n">
        <v>1109</v>
      </c>
      <c r="J119" s="15" t="n">
        <v>43.06</v>
      </c>
      <c r="K119" s="15" t="n">
        <v>44.52</v>
      </c>
      <c r="L119" s="16">
        <f>F119*(K119-J119)</f>
        <v/>
      </c>
    </row>
    <row r="120" ht="16.5" customHeight="1">
      <c r="D120" s="13" t="inlineStr">
        <is>
          <t>雍智科技(6683)</t>
        </is>
      </c>
      <c r="E120" s="14" t="n">
        <v>7</v>
      </c>
      <c r="F120" s="14" t="n">
        <v>1</v>
      </c>
      <c r="G120" s="14" t="n">
        <v>1212</v>
      </c>
      <c r="H120" s="14" t="n">
        <v>166</v>
      </c>
      <c r="I120" s="14" t="n">
        <v>1046</v>
      </c>
      <c r="J120" s="15" t="n">
        <v>1731.43</v>
      </c>
      <c r="K120" s="15" t="n">
        <v>1655</v>
      </c>
      <c r="L120" s="17">
        <f>F120*(K120-J120)</f>
        <v/>
      </c>
    </row>
    <row r="121" ht="16.5" customHeight="1">
      <c r="D121" s="13" t="inlineStr">
        <is>
          <t>今國光(6209)</t>
        </is>
      </c>
      <c r="E121" s="14" t="n">
        <v>123</v>
      </c>
      <c r="F121" s="14" t="n">
        <v>5</v>
      </c>
      <c r="G121" s="14" t="n">
        <v>1064</v>
      </c>
      <c r="H121" s="14" t="n">
        <v>41</v>
      </c>
      <c r="I121" s="14" t="n">
        <v>1023</v>
      </c>
      <c r="J121" s="15" t="n">
        <v>86.54000000000001</v>
      </c>
      <c r="K121" s="15" t="n">
        <v>81.2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凱基台灣TOP50(009816)</t>
        </is>
      </c>
      <c r="E141" s="14" t="n">
        <v>19939</v>
      </c>
      <c r="F141" s="14" t="n">
        <v>140</v>
      </c>
      <c r="G141" s="14" t="n">
        <v>28058</v>
      </c>
      <c r="H141" s="14" t="n">
        <v>198</v>
      </c>
      <c r="I141" s="14" t="n">
        <v>27860</v>
      </c>
      <c r="J141" s="15" t="n">
        <v>14.07</v>
      </c>
      <c r="K141" s="15" t="n">
        <v>14.14</v>
      </c>
      <c r="L141" s="16">
        <f>F141*(K141-J141)</f>
        <v/>
      </c>
    </row>
    <row r="142" ht="16.5" customHeight="1">
      <c r="D142" s="13" t="inlineStr">
        <is>
          <t>創意(3443)</t>
        </is>
      </c>
      <c r="E142" s="14" t="n">
        <v>54</v>
      </c>
      <c r="F142" s="14" t="n">
        <v>11</v>
      </c>
      <c r="G142" s="14" t="n">
        <v>27526</v>
      </c>
      <c r="H142" s="14" t="n">
        <v>5537</v>
      </c>
      <c r="I142" s="14" t="n">
        <v>21989</v>
      </c>
      <c r="J142" s="15" t="n">
        <v>5097.39</v>
      </c>
      <c r="K142" s="15" t="n">
        <v>5033.27</v>
      </c>
      <c r="L142" s="17">
        <f>F142*(K142-J142)</f>
        <v/>
      </c>
    </row>
    <row r="143" ht="16.5" customHeight="1">
      <c r="D143" s="13" t="inlineStr">
        <is>
          <t>臻鼎-KY(4958)</t>
        </is>
      </c>
      <c r="E143" s="14" t="n">
        <v>506</v>
      </c>
      <c r="F143" s="14" t="n">
        <v>267</v>
      </c>
      <c r="G143" s="14" t="n">
        <v>26089</v>
      </c>
      <c r="H143" s="14" t="n">
        <v>13765</v>
      </c>
      <c r="I143" s="14" t="n">
        <v>12324</v>
      </c>
      <c r="J143" s="15" t="n">
        <v>515.59</v>
      </c>
      <c r="K143" s="15" t="n">
        <v>515.53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期街口布蘭特正2(00715L)</t>
        </is>
      </c>
      <c r="E307" s="14" t="n">
        <v>203</v>
      </c>
      <c r="F307" s="14" t="n">
        <v>0</v>
      </c>
      <c r="G307" s="14" t="n">
        <v>1265</v>
      </c>
      <c r="H307" s="14" t="n">
        <v>0</v>
      </c>
      <c r="I307" s="14" t="n">
        <v>1265</v>
      </c>
      <c r="J307" s="15" t="n">
        <v>62.3</v>
      </c>
      <c r="K307" s="15" t="n">
        <v>0</v>
      </c>
      <c r="L307" s="16">
        <f>F307*(K307-J307)</f>
        <v/>
      </c>
    </row>
    <row r="308" ht="16.5" customHeight="1">
      <c r="D308" s="13" t="inlineStr">
        <is>
          <t>鑫科(3663)</t>
        </is>
      </c>
      <c r="E308" s="14" t="n">
        <v>142</v>
      </c>
      <c r="F308" s="14" t="n">
        <v>113</v>
      </c>
      <c r="G308" s="14" t="n">
        <v>1234</v>
      </c>
      <c r="H308" s="14" t="n">
        <v>982</v>
      </c>
      <c r="I308" s="14" t="n">
        <v>252</v>
      </c>
      <c r="J308" s="15" t="n">
        <v>86.90000000000001</v>
      </c>
      <c r="K308" s="15" t="n">
        <v>86.90000000000001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睿生光電(6861)</t>
        </is>
      </c>
      <c r="E442" s="14" t="n">
        <v>133</v>
      </c>
      <c r="F442" s="14" t="n">
        <v>57</v>
      </c>
      <c r="G442" s="14" t="n">
        <v>5803</v>
      </c>
      <c r="H442" s="14" t="n">
        <v>2468</v>
      </c>
      <c r="I442" s="14" t="n">
        <v>3335</v>
      </c>
      <c r="J442" s="15" t="n">
        <v>436.33</v>
      </c>
      <c r="K442" s="15" t="n">
        <v>432.96</v>
      </c>
      <c r="L442" s="17">
        <f>F442*(K442-J442)</f>
        <v/>
      </c>
    </row>
    <row r="443" ht="16.5" customHeight="1">
      <c r="D443" s="13" t="inlineStr">
        <is>
          <t>合勤控(3704)</t>
        </is>
      </c>
      <c r="E443" s="14" t="n">
        <v>1135</v>
      </c>
      <c r="F443" s="14" t="n">
        <v>80</v>
      </c>
      <c r="G443" s="14" t="n">
        <v>4824</v>
      </c>
      <c r="H443" s="14" t="n">
        <v>344</v>
      </c>
      <c r="I443" s="14" t="n">
        <v>4480</v>
      </c>
      <c r="J443" s="15" t="n">
        <v>42.51</v>
      </c>
      <c r="K443" s="15" t="n">
        <v>43.01</v>
      </c>
      <c r="L443" s="16">
        <f>F443*(K443-J443)</f>
        <v/>
      </c>
    </row>
    <row r="444" ht="16.5" customHeight="1">
      <c r="D444" s="13" t="inlineStr">
        <is>
          <t>啟��(6285)</t>
        </is>
      </c>
      <c r="E444" s="14" t="n">
        <v>163</v>
      </c>
      <c r="F444" s="14" t="n">
        <v>111</v>
      </c>
      <c r="G444" s="14" t="n">
        <v>4680</v>
      </c>
      <c r="H444" s="14" t="n">
        <v>3259</v>
      </c>
      <c r="I444" s="14" t="n">
        <v>1421</v>
      </c>
      <c r="J444" s="15" t="n">
        <v>287.15</v>
      </c>
      <c r="K444" s="15" t="n">
        <v>293.59</v>
      </c>
      <c r="L444" s="16">
        <f>F444*(K444-J444)</f>
        <v/>
      </c>
    </row>
    <row r="445" ht="16.5" customHeight="1">
      <c r="D445" s="13" t="inlineStr">
        <is>
          <t>聯電(2303)</t>
        </is>
      </c>
      <c r="E445" s="14" t="n">
        <v>320</v>
      </c>
      <c r="F445" s="14" t="n">
        <v>208</v>
      </c>
      <c r="G445" s="14" t="n">
        <v>3653</v>
      </c>
      <c r="H445" s="14" t="n">
        <v>2381</v>
      </c>
      <c r="I445" s="14" t="n">
        <v>1272</v>
      </c>
      <c r="J445" s="15" t="n">
        <v>114.15</v>
      </c>
      <c r="K445" s="15" t="n">
        <v>114.45</v>
      </c>
      <c r="L445" s="16">
        <f>F445*(K445-J445)</f>
        <v/>
      </c>
    </row>
    <row r="446" ht="16.5" customHeight="1">
      <c r="D446" s="13" t="inlineStr">
        <is>
          <t>欣興(3037)</t>
        </is>
      </c>
      <c r="E446" s="14" t="n">
        <v>34</v>
      </c>
      <c r="F446" s="14" t="n">
        <v>22</v>
      </c>
      <c r="G446" s="14" t="n">
        <v>3296</v>
      </c>
      <c r="H446" s="14" t="n">
        <v>2138</v>
      </c>
      <c r="I446" s="14" t="n">
        <v>1158</v>
      </c>
      <c r="J446" s="15" t="n">
        <v>969.53</v>
      </c>
      <c r="K446" s="15" t="n">
        <v>971.73</v>
      </c>
      <c r="L446" s="16">
        <f>F446*(K446-J446)</f>
        <v/>
      </c>
    </row>
    <row r="447" ht="16.5" customHeight="1">
      <c r="D447" s="13" t="inlineStr">
        <is>
          <t>群聯(8299)</t>
        </is>
      </c>
      <c r="E447" s="14" t="n">
        <v>12</v>
      </c>
      <c r="F447" s="14" t="n">
        <v>8</v>
      </c>
      <c r="G447" s="14" t="n">
        <v>2833</v>
      </c>
      <c r="H447" s="14" t="n">
        <v>1839</v>
      </c>
      <c r="I447" s="14" t="n">
        <v>994</v>
      </c>
      <c r="J447" s="15" t="n">
        <v>2360.58</v>
      </c>
      <c r="K447" s="15" t="n">
        <v>2298.88</v>
      </c>
      <c r="L447" s="17">
        <f>F447*(K447-J447)</f>
        <v/>
      </c>
    </row>
    <row r="448" ht="16.5" customHeight="1">
      <c r="D448" s="13" t="inlineStr">
        <is>
          <t>奇鋐(3017)</t>
        </is>
      </c>
      <c r="E448" s="14" t="n">
        <v>8</v>
      </c>
      <c r="F448" s="14" t="n">
        <v>6</v>
      </c>
      <c r="G448" s="14" t="n">
        <v>2137</v>
      </c>
      <c r="H448" s="14" t="n">
        <v>1589</v>
      </c>
      <c r="I448" s="14" t="n">
        <v>548</v>
      </c>
      <c r="J448" s="15" t="n">
        <v>2670.75</v>
      </c>
      <c r="K448" s="15" t="n">
        <v>2648.33</v>
      </c>
      <c r="L448" s="17">
        <f>F448*(K448-J448)</f>
        <v/>
      </c>
    </row>
    <row r="449" ht="16.5" customHeight="1">
      <c r="D449" s="13" t="inlineStr">
        <is>
          <t>聯鈞(3450)</t>
        </is>
      </c>
      <c r="E449" s="14" t="n">
        <v>30</v>
      </c>
      <c r="F449" s="14" t="n">
        <v>2</v>
      </c>
      <c r="G449" s="14" t="n">
        <v>1364</v>
      </c>
      <c r="H449" s="14" t="n">
        <v>92</v>
      </c>
      <c r="I449" s="14" t="n">
        <v>1272</v>
      </c>
      <c r="J449" s="15" t="n">
        <v>454.6</v>
      </c>
      <c r="K449" s="15" t="n">
        <v>462</v>
      </c>
      <c r="L449" s="16">
        <f>F449*(K449-J449)</f>
        <v/>
      </c>
    </row>
    <row r="450" ht="16.5" customHeight="1">
      <c r="D450" s="13" t="inlineStr">
        <is>
          <t>京元電子(2449)</t>
        </is>
      </c>
      <c r="E450" s="14" t="n">
        <v>36</v>
      </c>
      <c r="F450" s="14" t="n">
        <v>14</v>
      </c>
      <c r="G450" s="14" t="n">
        <v>1051</v>
      </c>
      <c r="H450" s="14" t="n">
        <v>407</v>
      </c>
      <c r="I450" s="14" t="n">
        <v>644</v>
      </c>
      <c r="J450" s="15" t="n">
        <v>292.06</v>
      </c>
      <c r="K450" s="15" t="n">
        <v>290.86</v>
      </c>
      <c r="L450" s="17">
        <f>F450*(K450-J450)</f>
        <v/>
      </c>
    </row>
    <row r="451" ht="16.5" customHeight="1">
      <c r="D451" s="13" t="inlineStr">
        <is>
          <t>聯詠(3034)</t>
        </is>
      </c>
      <c r="E451" s="14" t="n">
        <v>21</v>
      </c>
      <c r="F451" s="14" t="n">
        <v>1</v>
      </c>
      <c r="G451" s="14" t="n">
        <v>1026</v>
      </c>
      <c r="H451" s="14" t="n">
        <v>17</v>
      </c>
      <c r="I451" s="14" t="n">
        <v>1009</v>
      </c>
      <c r="J451" s="15" t="n">
        <v>488.67</v>
      </c>
      <c r="K451" s="15" t="n">
        <v>174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35</v>
      </c>
      <c r="F453" s="14" t="n">
        <v>30</v>
      </c>
      <c r="G453" s="14" t="n">
        <v>7959</v>
      </c>
      <c r="H453" s="14" t="n">
        <v>6776</v>
      </c>
      <c r="I453" s="14" t="n">
        <v>1183</v>
      </c>
      <c r="J453" s="15" t="n">
        <v>2273.89</v>
      </c>
      <c r="K453" s="15" t="n">
        <v>2258.57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10</v>
      </c>
      <c r="G454" s="14" t="n">
        <v>7921</v>
      </c>
      <c r="H454" s="14" t="n">
        <v>2336</v>
      </c>
      <c r="I454" s="14" t="n">
        <v>5585</v>
      </c>
      <c r="J454" s="15" t="n">
        <v>2400.18</v>
      </c>
      <c r="K454" s="15" t="n">
        <v>2336.3</v>
      </c>
      <c r="L454" s="17">
        <f>F454*(K454-J454)</f>
        <v/>
      </c>
    </row>
    <row r="455" ht="16.5" customHeight="1">
      <c r="D455" s="13" t="inlineStr">
        <is>
          <t>華通(2313)</t>
        </is>
      </c>
      <c r="E455" s="14" t="n">
        <v>193</v>
      </c>
      <c r="F455" s="14" t="n">
        <v>166</v>
      </c>
      <c r="G455" s="14" t="n">
        <v>5352</v>
      </c>
      <c r="H455" s="14" t="n">
        <v>4610</v>
      </c>
      <c r="I455" s="14" t="n">
        <v>742</v>
      </c>
      <c r="J455" s="15" t="n">
        <v>277.3</v>
      </c>
      <c r="K455" s="15" t="n">
        <v>277.73</v>
      </c>
      <c r="L455" s="16">
        <f>F455*(K455-J455)</f>
        <v/>
      </c>
    </row>
    <row r="456" ht="16.5" customHeight="1">
      <c r="D456" s="13" t="inlineStr">
        <is>
          <t>聯電(2303)</t>
        </is>
      </c>
      <c r="E456" s="14" t="n">
        <v>361</v>
      </c>
      <c r="F456" s="14" t="n">
        <v>263</v>
      </c>
      <c r="G456" s="14" t="n">
        <v>4151</v>
      </c>
      <c r="H456" s="14" t="n">
        <v>3020</v>
      </c>
      <c r="I456" s="14" t="n">
        <v>1131</v>
      </c>
      <c r="J456" s="15" t="n">
        <v>114.99</v>
      </c>
      <c r="K456" s="15" t="n">
        <v>114.81</v>
      </c>
      <c r="L456" s="17">
        <f>F456*(K456-J456)</f>
        <v/>
      </c>
    </row>
    <row r="457" ht="16.5" customHeight="1">
      <c r="D457" s="13" t="inlineStr">
        <is>
          <t>新代(7750)</t>
        </is>
      </c>
      <c r="E457" s="14" t="n">
        <v>17</v>
      </c>
      <c r="F457" s="14" t="n">
        <v>2</v>
      </c>
      <c r="G457" s="14" t="n">
        <v>4138</v>
      </c>
      <c r="H457" s="14" t="n">
        <v>590</v>
      </c>
      <c r="I457" s="14" t="n">
        <v>3548</v>
      </c>
      <c r="J457" s="15" t="n">
        <v>2433.88</v>
      </c>
      <c r="K457" s="15" t="n">
        <v>2951.5</v>
      </c>
      <c r="L457" s="16">
        <f>F457*(K457-J457)</f>
        <v/>
      </c>
    </row>
    <row r="458" ht="16.5" customHeight="1">
      <c r="D458" s="13" t="inlineStr">
        <is>
          <t>主動統一台股增長(00981A)</t>
        </is>
      </c>
      <c r="E458" s="14" t="n">
        <v>1208</v>
      </c>
      <c r="F458" s="14" t="n">
        <v>768</v>
      </c>
      <c r="G458" s="14" t="n">
        <v>3601</v>
      </c>
      <c r="H458" s="14" t="n">
        <v>2283</v>
      </c>
      <c r="I458" s="14" t="n">
        <v>1318</v>
      </c>
      <c r="J458" s="15" t="n">
        <v>29.81</v>
      </c>
      <c r="K458" s="15" t="n">
        <v>29.73</v>
      </c>
      <c r="L458" s="17">
        <f>F458*(K458-J458)</f>
        <v/>
      </c>
    </row>
    <row r="459" ht="16.5" customHeight="1">
      <c r="D459" s="13" t="inlineStr">
        <is>
          <t>晶呈科技(4768)</t>
        </is>
      </c>
      <c r="E459" s="14" t="n">
        <v>67</v>
      </c>
      <c r="F459" s="14" t="n">
        <v>38</v>
      </c>
      <c r="G459" s="14" t="n">
        <v>3053</v>
      </c>
      <c r="H459" s="14" t="n">
        <v>1729</v>
      </c>
      <c r="I459" s="14" t="n">
        <v>1324</v>
      </c>
      <c r="J459" s="15" t="n">
        <v>455.66</v>
      </c>
      <c r="K459" s="15" t="n">
        <v>455</v>
      </c>
      <c r="L459" s="17">
        <f>F459*(K459-J459)</f>
        <v/>
      </c>
    </row>
    <row r="460" ht="16.5" customHeight="1">
      <c r="D460" s="13" t="inlineStr">
        <is>
          <t>睿生光電(6861)</t>
        </is>
      </c>
      <c r="E460" s="14" t="n">
        <v>66</v>
      </c>
      <c r="F460" s="14" t="n">
        <v>46</v>
      </c>
      <c r="G460" s="14" t="n">
        <v>2961</v>
      </c>
      <c r="H460" s="14" t="n">
        <v>2086</v>
      </c>
      <c r="I460" s="14" t="n">
        <v>875</v>
      </c>
      <c r="J460" s="15" t="n">
        <v>448.58</v>
      </c>
      <c r="K460" s="15" t="n">
        <v>453.54</v>
      </c>
      <c r="L460" s="16">
        <f>F460*(K460-J460)</f>
        <v/>
      </c>
    </row>
    <row r="461" ht="16.5" customHeight="1">
      <c r="D461" s="13" t="inlineStr">
        <is>
          <t>宜鼎(5289)</t>
        </is>
      </c>
      <c r="E461" s="14" t="n">
        <v>16</v>
      </c>
      <c r="F461" s="14" t="n">
        <v>7</v>
      </c>
      <c r="G461" s="14" t="n">
        <v>2814</v>
      </c>
      <c r="H461" s="14" t="n">
        <v>1264</v>
      </c>
      <c r="I461" s="14" t="n">
        <v>1550</v>
      </c>
      <c r="J461" s="15" t="n">
        <v>1758.44</v>
      </c>
      <c r="K461" s="15" t="n">
        <v>1806</v>
      </c>
      <c r="L461" s="16">
        <f>F461*(K461-J461)</f>
        <v/>
      </c>
    </row>
    <row r="462" ht="16.5" customHeight="1">
      <c r="D462" s="13" t="inlineStr">
        <is>
          <t>頎邦(6147)</t>
        </is>
      </c>
      <c r="E462" s="14" t="n">
        <v>126</v>
      </c>
      <c r="F462" s="14" t="n">
        <v>84</v>
      </c>
      <c r="G462" s="14" t="n">
        <v>2758</v>
      </c>
      <c r="H462" s="14" t="n">
        <v>1834</v>
      </c>
      <c r="I462" s="14" t="n">
        <v>924</v>
      </c>
      <c r="J462" s="15" t="n">
        <v>218.87</v>
      </c>
      <c r="K462" s="15" t="n">
        <v>218.3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2026-05-22T16:13:17Z</dcterms:modified>
</cp:coreProperties>
</file>