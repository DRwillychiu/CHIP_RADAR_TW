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南亞科(2408)</t>
        </is>
      </c>
      <c r="E244" s="14" t="n">
        <v>331</v>
      </c>
      <c r="F244" s="14" t="n">
        <v>70</v>
      </c>
      <c r="G244" s="14" t="n">
        <v>9022</v>
      </c>
      <c r="H244" s="14" t="n">
        <v>1942</v>
      </c>
      <c r="I244" s="14" t="n">
        <v>7080</v>
      </c>
      <c r="J244" s="15" t="n">
        <v>272.57</v>
      </c>
      <c r="K244" s="15" t="n">
        <v>277.4</v>
      </c>
      <c r="L244" s="16">
        <f>F244*(K244-J244)</f>
        <v/>
      </c>
    </row>
    <row r="245" ht="16.5" customHeight="1">
      <c r="D245" s="13" t="inlineStr">
        <is>
          <t>台積電(2330)</t>
        </is>
      </c>
      <c r="E245" s="14" t="n">
        <v>0</v>
      </c>
      <c r="F245" s="14" t="n">
        <v>0</v>
      </c>
      <c r="G245" s="14" t="n">
        <v>4972</v>
      </c>
      <c r="H245" s="14" t="n">
        <v>8305</v>
      </c>
      <c r="I245" s="14" t="n">
        <v>-3333</v>
      </c>
      <c r="J245" s="15" t="n">
        <v>0</v>
      </c>
      <c r="K245" s="15" t="n">
        <v>0</v>
      </c>
      <c r="L245" s="16">
        <f>F245*(K245-J245)</f>
        <v/>
      </c>
    </row>
    <row r="246" ht="16.5" customHeight="1">
      <c r="D246" s="13" t="inlineStr">
        <is>
          <t>金像電(2368)</t>
        </is>
      </c>
      <c r="E246" s="14" t="n">
        <v>33</v>
      </c>
      <c r="F246" s="14" t="n">
        <v>60</v>
      </c>
      <c r="G246" s="14" t="n">
        <v>4565</v>
      </c>
      <c r="H246" s="14" t="n">
        <v>7876</v>
      </c>
      <c r="I246" s="14" t="n">
        <v>-3311</v>
      </c>
      <c r="J246" s="15" t="n">
        <v>1383.36</v>
      </c>
      <c r="K246" s="15" t="n">
        <v>1312.58</v>
      </c>
      <c r="L246" s="17">
        <f>F246*(K246-J246)</f>
        <v/>
      </c>
    </row>
    <row r="247" ht="16.5" customHeight="1">
      <c r="D247" s="13" t="inlineStr">
        <is>
          <t>頎邦(6147)</t>
        </is>
      </c>
      <c r="E247" s="14" t="n">
        <v>235</v>
      </c>
      <c r="F247" s="14" t="n">
        <v>42</v>
      </c>
      <c r="G247" s="14" t="n">
        <v>4442</v>
      </c>
      <c r="H247" s="14" t="n">
        <v>801</v>
      </c>
      <c r="I247" s="14" t="n">
        <v>3641</v>
      </c>
      <c r="J247" s="15" t="n">
        <v>189.02</v>
      </c>
      <c r="K247" s="15" t="n">
        <v>190.74</v>
      </c>
      <c r="L247" s="16">
        <f>F247*(K247-J247)</f>
        <v/>
      </c>
    </row>
    <row r="248" ht="16.5" customHeight="1">
      <c r="D248" s="13" t="inlineStr">
        <is>
          <t>南茂(8150)</t>
        </is>
      </c>
      <c r="E248" s="14" t="n">
        <v>449</v>
      </c>
      <c r="F248" s="14" t="n">
        <v>265</v>
      </c>
      <c r="G248" s="14" t="n">
        <v>4190</v>
      </c>
      <c r="H248" s="14" t="n">
        <v>2489</v>
      </c>
      <c r="I248" s="14" t="n">
        <v>1701</v>
      </c>
      <c r="J248" s="15" t="n">
        <v>93.31</v>
      </c>
      <c r="K248" s="15" t="n">
        <v>93.93000000000001</v>
      </c>
      <c r="L248" s="16">
        <f>F248*(K248-J248)</f>
        <v/>
      </c>
    </row>
    <row r="249" ht="16.5" customHeight="1">
      <c r="D249" s="13" t="inlineStr">
        <is>
          <t>健策(3653)</t>
        </is>
      </c>
      <c r="E249" s="14" t="n">
        <v>0</v>
      </c>
      <c r="F249" s="14" t="n">
        <v>0</v>
      </c>
      <c r="G249" s="14" t="n">
        <v>3691</v>
      </c>
      <c r="H249" s="14" t="n">
        <v>766</v>
      </c>
      <c r="I249" s="14" t="n">
        <v>2925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inlineStr">
        <is>
          <t>台燿(6274)</t>
        </is>
      </c>
      <c r="E250" s="14" t="n">
        <v>0</v>
      </c>
      <c r="F250" s="14" t="n">
        <v>0</v>
      </c>
      <c r="G250" s="14" t="n">
        <v>3448</v>
      </c>
      <c r="H250" s="14" t="n">
        <v>3996</v>
      </c>
      <c r="I250" s="14" t="n">
        <v>-548</v>
      </c>
      <c r="J250" s="15" t="n">
        <v>0</v>
      </c>
      <c r="K250" s="15" t="n">
        <v>0</v>
      </c>
      <c r="L250" s="16">
        <f>F250*(K250-J250)</f>
        <v/>
      </c>
    </row>
    <row r="251" ht="16.5" customHeight="1">
      <c r="D251" s="13" t="inlineStr">
        <is>
          <t>鴻海(2317)</t>
        </is>
      </c>
      <c r="E251" s="14" t="n">
        <v>130</v>
      </c>
      <c r="F251" s="14" t="n">
        <v>329</v>
      </c>
      <c r="G251" s="14" t="n">
        <v>3255</v>
      </c>
      <c r="H251" s="14" t="n">
        <v>8272</v>
      </c>
      <c r="I251" s="14" t="n">
        <v>-5017</v>
      </c>
      <c r="J251" s="15" t="n">
        <v>250.37</v>
      </c>
      <c r="K251" s="15" t="n">
        <v>251.42</v>
      </c>
      <c r="L251" s="16">
        <f>F251*(K251-J251)</f>
        <v/>
      </c>
    </row>
    <row r="252" ht="16.5" customHeight="1">
      <c r="D252" s="13" t="inlineStr">
        <is>
          <t>台達電(2308)</t>
        </is>
      </c>
      <c r="E252" s="14" t="n">
        <v>0</v>
      </c>
      <c r="F252" s="14" t="n">
        <v>0</v>
      </c>
      <c r="G252" s="14" t="n">
        <v>2319</v>
      </c>
      <c r="H252" s="14" t="n">
        <v>3769</v>
      </c>
      <c r="I252" s="14" t="n">
        <v>-1450</v>
      </c>
      <c r="J252" s="15" t="n">
        <v>0</v>
      </c>
      <c r="K252" s="15" t="n">
        <v>0</v>
      </c>
      <c r="L252" s="16">
        <f>F252*(K252-J252)</f>
        <v/>
      </c>
    </row>
    <row r="253" ht="16.5" customHeight="1">
      <c r="D253" s="13" t="inlineStr">
        <is>
          <t>凌航(3135)</t>
        </is>
      </c>
      <c r="E253" s="14" t="n">
        <v>121</v>
      </c>
      <c r="F253" s="14" t="n">
        <v>2</v>
      </c>
      <c r="G253" s="14" t="n">
        <v>1992</v>
      </c>
      <c r="H253" s="14" t="n">
        <v>35</v>
      </c>
      <c r="I253" s="14" t="n">
        <v>1957</v>
      </c>
      <c r="J253" s="15" t="n">
        <v>164.6</v>
      </c>
      <c r="K253" s="15" t="n">
        <v>177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奇鋐(3017)</t>
        </is>
      </c>
      <c r="E255" s="14" t="n">
        <v>362</v>
      </c>
      <c r="F255" s="14" t="n">
        <v>19</v>
      </c>
      <c r="G255" s="14" t="n">
        <v>88499</v>
      </c>
      <c r="H255" s="14" t="n">
        <v>4655</v>
      </c>
      <c r="I255" s="14" t="n">
        <v>83844</v>
      </c>
      <c r="J255" s="15" t="n">
        <v>2444.73</v>
      </c>
      <c r="K255" s="15" t="n">
        <v>2450</v>
      </c>
      <c r="L255" s="16">
        <f>F255*(K255-J255)</f>
        <v/>
      </c>
    </row>
    <row r="256" ht="16.5" customHeight="1">
      <c r="D256" s="13" t="inlineStr">
        <is>
          <t>國巨*(2327)</t>
        </is>
      </c>
      <c r="E256" s="14" t="n">
        <v>2002</v>
      </c>
      <c r="F256" s="14" t="n">
        <v>306</v>
      </c>
      <c r="G256" s="14" t="n">
        <v>78307</v>
      </c>
      <c r="H256" s="14" t="n">
        <v>11826</v>
      </c>
      <c r="I256" s="14" t="n">
        <v>66481</v>
      </c>
      <c r="J256" s="15" t="n">
        <v>391.14</v>
      </c>
      <c r="K256" s="15" t="n">
        <v>386.48</v>
      </c>
      <c r="L256" s="17">
        <f>F256*(K256-J256)</f>
        <v/>
      </c>
    </row>
    <row r="257" ht="16.5" customHeight="1">
      <c r="D257" s="13" t="inlineStr">
        <is>
          <t>台達電(2308)</t>
        </is>
      </c>
      <c r="E257" s="14" t="n">
        <v>325</v>
      </c>
      <c r="F257" s="14" t="n">
        <v>75</v>
      </c>
      <c r="G257" s="14" t="n">
        <v>71681</v>
      </c>
      <c r="H257" s="14" t="n">
        <v>16586</v>
      </c>
      <c r="I257" s="14" t="n">
        <v>55095</v>
      </c>
      <c r="J257" s="15" t="n">
        <v>2205.56</v>
      </c>
      <c r="K257" s="15" t="n">
        <v>2211.52</v>
      </c>
      <c r="L257" s="16">
        <f>F257*(K257-J257)</f>
        <v/>
      </c>
    </row>
    <row r="258" ht="16.5" customHeight="1">
      <c r="D258" s="13" t="inlineStr">
        <is>
          <t>台積電(2330)</t>
        </is>
      </c>
      <c r="E258" s="14" t="n">
        <v>0</v>
      </c>
      <c r="F258" s="14" t="n">
        <v>0</v>
      </c>
      <c r="G258" s="14" t="n">
        <v>70843</v>
      </c>
      <c r="H258" s="14" t="n">
        <v>77034</v>
      </c>
      <c r="I258" s="14" t="n">
        <v>-6191</v>
      </c>
      <c r="J258" s="15" t="n">
        <v>0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聯發科(2454)</t>
        </is>
      </c>
      <c r="E259" s="14" t="n">
        <v>0</v>
      </c>
      <c r="F259" s="14" t="n">
        <v>0</v>
      </c>
      <c r="G259" s="14" t="n">
        <v>53012</v>
      </c>
      <c r="H259" s="14" t="n">
        <v>36856</v>
      </c>
      <c r="I259" s="14" t="n">
        <v>16156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健策(3653)</t>
        </is>
      </c>
      <c r="E260" s="14" t="n">
        <v>0</v>
      </c>
      <c r="F260" s="14" t="n">
        <v>0</v>
      </c>
      <c r="G260" s="14" t="n">
        <v>46345</v>
      </c>
      <c r="H260" s="14" t="n">
        <v>92411</v>
      </c>
      <c r="I260" s="14" t="n">
        <v>-46066</v>
      </c>
      <c r="J260" s="15" t="n">
        <v>0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旺矽(6223)</t>
        </is>
      </c>
      <c r="E261" s="14" t="n">
        <v>0</v>
      </c>
      <c r="F261" s="14" t="n">
        <v>0</v>
      </c>
      <c r="G261" s="14" t="n">
        <v>34010</v>
      </c>
      <c r="H261" s="14" t="n">
        <v>1033</v>
      </c>
      <c r="I261" s="14" t="n">
        <v>32977</v>
      </c>
      <c r="J261" s="15" t="n">
        <v>0</v>
      </c>
      <c r="K261" s="15" t="n">
        <v>0</v>
      </c>
      <c r="L261" s="16">
        <f>F261*(K261-J261)</f>
        <v/>
      </c>
    </row>
    <row r="262" ht="16.5" customHeight="1">
      <c r="D262" s="13" t="inlineStr">
        <is>
          <t>國泰20年美債(00687B)</t>
        </is>
      </c>
      <c r="E262" s="14" t="n">
        <v>10384</v>
      </c>
      <c r="F262" s="14" t="n">
        <v>0</v>
      </c>
      <c r="G262" s="14" t="n">
        <v>28856</v>
      </c>
      <c r="H262" s="14" t="n">
        <v>0</v>
      </c>
      <c r="I262" s="14" t="n">
        <v>28856</v>
      </c>
      <c r="J262" s="15" t="n">
        <v>27.79</v>
      </c>
      <c r="K262" s="15" t="n">
        <v>0</v>
      </c>
      <c r="L262" s="16">
        <f>F262*(K262-J262)</f>
        <v/>
      </c>
    </row>
    <row r="263" ht="16.5" customHeight="1">
      <c r="D263" s="13" t="inlineStr">
        <is>
          <t>金像電(2368)</t>
        </is>
      </c>
      <c r="E263" s="14" t="n">
        <v>0</v>
      </c>
      <c r="F263" s="14" t="n">
        <v>0</v>
      </c>
      <c r="G263" s="14" t="n">
        <v>27565</v>
      </c>
      <c r="H263" s="14" t="n">
        <v>17028</v>
      </c>
      <c r="I263" s="14" t="n">
        <v>10537</v>
      </c>
      <c r="J263" s="15" t="n">
        <v>0</v>
      </c>
      <c r="K263" s="15" t="n">
        <v>0</v>
      </c>
      <c r="L263" s="16">
        <f>F263*(K263-J263)</f>
        <v/>
      </c>
    </row>
    <row r="264" ht="16.5" customHeight="1">
      <c r="D264" s="13" t="inlineStr">
        <is>
          <t>緯穎(6669)</t>
        </is>
      </c>
      <c r="E264" s="14" t="n">
        <v>0</v>
      </c>
      <c r="F264" s="14" t="n">
        <v>0</v>
      </c>
      <c r="G264" s="14" t="n">
        <v>24978</v>
      </c>
      <c r="H264" s="14" t="n">
        <v>3600</v>
      </c>
      <c r="I264" s="14" t="n">
        <v>21378</v>
      </c>
      <c r="J264" s="15" t="n">
        <v>0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日月光投控(3711)</t>
        </is>
      </c>
      <c r="E266" s="14" t="n">
        <v>3591</v>
      </c>
      <c r="F266" s="14" t="n">
        <v>136</v>
      </c>
      <c r="G266" s="14" t="n">
        <v>187294</v>
      </c>
      <c r="H266" s="14" t="n">
        <v>7086</v>
      </c>
      <c r="I266" s="14" t="n">
        <v>180208</v>
      </c>
      <c r="J266" s="15" t="n">
        <v>521.5599999999999</v>
      </c>
      <c r="K266" s="15" t="n">
        <v>521.01</v>
      </c>
      <c r="L266" s="17">
        <f>F266*(K266-J266)</f>
        <v/>
      </c>
    </row>
    <row r="267" ht="16.5" customHeight="1">
      <c r="D267" s="13" t="inlineStr">
        <is>
          <t>群聯(8299)</t>
        </is>
      </c>
      <c r="E267" s="14" t="n">
        <v>678</v>
      </c>
      <c r="F267" s="14" t="n">
        <v>135</v>
      </c>
      <c r="G267" s="14" t="n">
        <v>163707</v>
      </c>
      <c r="H267" s="14" t="n">
        <v>32083</v>
      </c>
      <c r="I267" s="14" t="n">
        <v>131624</v>
      </c>
      <c r="J267" s="15" t="n">
        <v>2414.56</v>
      </c>
      <c r="K267" s="15" t="n">
        <v>2376.54</v>
      </c>
      <c r="L267" s="17">
        <f>F267*(K267-J267)</f>
        <v/>
      </c>
    </row>
    <row r="268" ht="16.5" customHeight="1">
      <c r="D268" s="13" t="inlineStr">
        <is>
          <t>勤誠(8210)</t>
        </is>
      </c>
      <c r="E268" s="14" t="n">
        <v>651</v>
      </c>
      <c r="F268" s="14" t="n">
        <v>218</v>
      </c>
      <c r="G268" s="14" t="n">
        <v>91466</v>
      </c>
      <c r="H268" s="14" t="n">
        <v>30812</v>
      </c>
      <c r="I268" s="14" t="n">
        <v>60654</v>
      </c>
      <c r="J268" s="15" t="n">
        <v>1405.01</v>
      </c>
      <c r="K268" s="15" t="n">
        <v>1413.39</v>
      </c>
      <c r="L268" s="16">
        <f>F268*(K268-J268)</f>
        <v/>
      </c>
    </row>
    <row r="269" ht="16.5" customHeight="1">
      <c r="D269" s="13" t="inlineStr">
        <is>
          <t>華通(2313)</t>
        </is>
      </c>
      <c r="E269" s="14" t="n">
        <v>3310</v>
      </c>
      <c r="F269" s="14" t="n">
        <v>223</v>
      </c>
      <c r="G269" s="14" t="n">
        <v>83245</v>
      </c>
      <c r="H269" s="14" t="n">
        <v>5570</v>
      </c>
      <c r="I269" s="14" t="n">
        <v>77675</v>
      </c>
      <c r="J269" s="15" t="n">
        <v>251.49</v>
      </c>
      <c r="K269" s="15" t="n">
        <v>249.76</v>
      </c>
      <c r="L269" s="17">
        <f>F269*(K269-J269)</f>
        <v/>
      </c>
    </row>
    <row r="270" ht="16.5" customHeight="1">
      <c r="D270" s="13" t="inlineStr">
        <is>
          <t>禾伸堂(3026)</t>
        </is>
      </c>
      <c r="E270" s="14" t="n">
        <v>2469</v>
      </c>
      <c r="F270" s="14" t="n">
        <v>1271</v>
      </c>
      <c r="G270" s="14" t="n">
        <v>81401</v>
      </c>
      <c r="H270" s="14" t="n">
        <v>41516</v>
      </c>
      <c r="I270" s="14" t="n">
        <v>39885</v>
      </c>
      <c r="J270" s="15" t="n">
        <v>329.69</v>
      </c>
      <c r="K270" s="15" t="n">
        <v>326.64</v>
      </c>
      <c r="L270" s="17">
        <f>F270*(K270-J270)</f>
        <v/>
      </c>
    </row>
    <row r="271" ht="16.5" customHeight="1">
      <c r="D271" s="13" t="inlineStr">
        <is>
          <t>致茂(2360)</t>
        </is>
      </c>
      <c r="E271" s="14" t="n">
        <v>0</v>
      </c>
      <c r="F271" s="14" t="n">
        <v>0</v>
      </c>
      <c r="G271" s="14" t="n">
        <v>79890</v>
      </c>
      <c r="H271" s="14" t="n">
        <v>7982</v>
      </c>
      <c r="I271" s="14" t="n">
        <v>71908</v>
      </c>
      <c r="J271" s="15" t="n">
        <v>0</v>
      </c>
      <c r="K271" s="15" t="n">
        <v>0</v>
      </c>
      <c r="L271" s="16">
        <f>F271*(K271-J271)</f>
        <v/>
      </c>
    </row>
    <row r="272" ht="16.5" customHeight="1">
      <c r="D272" s="13" t="inlineStr">
        <is>
          <t>聯詠(3034)</t>
        </is>
      </c>
      <c r="E272" s="14" t="n">
        <v>1567</v>
      </c>
      <c r="F272" s="14" t="n">
        <v>172</v>
      </c>
      <c r="G272" s="14" t="n">
        <v>77938</v>
      </c>
      <c r="H272" s="14" t="n">
        <v>8404</v>
      </c>
      <c r="I272" s="14" t="n">
        <v>69534</v>
      </c>
      <c r="J272" s="15" t="n">
        <v>497.37</v>
      </c>
      <c r="K272" s="15" t="n">
        <v>488.59</v>
      </c>
      <c r="L272" s="17">
        <f>F272*(K272-J272)</f>
        <v/>
      </c>
    </row>
    <row r="273" ht="16.5" customHeight="1">
      <c r="D273" s="13" t="inlineStr">
        <is>
          <t>順德(2351)</t>
        </is>
      </c>
      <c r="E273" s="14" t="n">
        <v>3538</v>
      </c>
      <c r="F273" s="14" t="n">
        <v>605</v>
      </c>
      <c r="G273" s="14" t="n">
        <v>64704</v>
      </c>
      <c r="H273" s="14" t="n">
        <v>10895</v>
      </c>
      <c r="I273" s="14" t="n">
        <v>53809</v>
      </c>
      <c r="J273" s="15" t="n">
        <v>182.88</v>
      </c>
      <c r="K273" s="15" t="n">
        <v>180.08</v>
      </c>
      <c r="L273" s="17">
        <f>F273*(K273-J273)</f>
        <v/>
      </c>
    </row>
    <row r="274" ht="16.5" customHeight="1">
      <c r="D274" s="13" t="inlineStr">
        <is>
          <t>緯穎(6669)</t>
        </is>
      </c>
      <c r="E274" s="14" t="n">
        <v>0</v>
      </c>
      <c r="F274" s="14" t="n">
        <v>0</v>
      </c>
      <c r="G274" s="14" t="n">
        <v>64420</v>
      </c>
      <c r="H274" s="14" t="n">
        <v>50030</v>
      </c>
      <c r="I274" s="14" t="n">
        <v>14390</v>
      </c>
      <c r="J274" s="15" t="n">
        <v>0</v>
      </c>
      <c r="K274" s="15" t="n">
        <v>0</v>
      </c>
      <c r="L274" s="16">
        <f>F274*(K274-J274)</f>
        <v/>
      </c>
    </row>
    <row r="275" ht="16.5" customHeight="1">
      <c r="D275" s="13" t="inlineStr">
        <is>
          <t>瑞昱(2379)</t>
        </is>
      </c>
      <c r="E275" s="14" t="n">
        <v>1071</v>
      </c>
      <c r="F275" s="14" t="n">
        <v>183</v>
      </c>
      <c r="G275" s="14" t="n">
        <v>63286</v>
      </c>
      <c r="H275" s="14" t="n">
        <v>10759</v>
      </c>
      <c r="I275" s="14" t="n">
        <v>52527</v>
      </c>
      <c r="J275" s="15" t="n">
        <v>590.91</v>
      </c>
      <c r="K275" s="15" t="n">
        <v>587.9299999999999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221</v>
      </c>
      <c r="F365" s="14" t="n">
        <v>122</v>
      </c>
      <c r="G365" s="14" t="n">
        <v>6120</v>
      </c>
      <c r="H365" s="14" t="n">
        <v>3414</v>
      </c>
      <c r="I365" s="14" t="n">
        <v>2706</v>
      </c>
      <c r="J365" s="15" t="n">
        <v>276.93</v>
      </c>
      <c r="K365" s="15" t="n">
        <v>279.8</v>
      </c>
      <c r="L365" s="16">
        <f>F365*(K365-J365)</f>
        <v/>
      </c>
    </row>
    <row r="366" ht="16.5" customHeight="1">
      <c r="D366" s="13" t="inlineStr">
        <is>
          <t>川湖(2059)</t>
        </is>
      </c>
      <c r="E366" s="14" t="n">
        <v>0</v>
      </c>
      <c r="F366" s="14" t="n">
        <v>0</v>
      </c>
      <c r="G366" s="14" t="n">
        <v>5320</v>
      </c>
      <c r="H366" s="14" t="n">
        <v>10589</v>
      </c>
      <c r="I366" s="14" t="n">
        <v>-5269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鴻海(2317)</t>
        </is>
      </c>
      <c r="E367" s="14" t="n">
        <v>0</v>
      </c>
      <c r="F367" s="14" t="n">
        <v>0</v>
      </c>
      <c r="G367" s="14" t="n">
        <v>4331</v>
      </c>
      <c r="H367" s="14" t="n">
        <v>4936</v>
      </c>
      <c r="I367" s="14" t="n">
        <v>-605</v>
      </c>
      <c r="J367" s="15" t="n">
        <v>0</v>
      </c>
      <c r="K367" s="15" t="n">
        <v>0</v>
      </c>
      <c r="L367" s="16">
        <f>F367*(K367-J367)</f>
        <v/>
      </c>
    </row>
    <row r="368" ht="16.5" customHeight="1">
      <c r="D368" s="13" t="inlineStr">
        <is>
          <t>新應材(4749)</t>
        </is>
      </c>
      <c r="E368" s="14" t="n">
        <v>0</v>
      </c>
      <c r="F368" s="14" t="n">
        <v>0</v>
      </c>
      <c r="G368" s="14" t="n">
        <v>4001</v>
      </c>
      <c r="H368" s="14" t="n">
        <v>1244</v>
      </c>
      <c r="I368" s="14" t="n">
        <v>2757</v>
      </c>
      <c r="J368" s="15" t="n">
        <v>0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AES-KY(6781)</t>
        </is>
      </c>
      <c r="E369" s="14" t="n">
        <v>0</v>
      </c>
      <c r="F369" s="14" t="n">
        <v>0</v>
      </c>
      <c r="G369" s="14" t="n">
        <v>4001</v>
      </c>
      <c r="H369" s="14" t="n">
        <v>1153</v>
      </c>
      <c r="I369" s="14" t="n">
        <v>2848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文曄(3036)</t>
        </is>
      </c>
      <c r="E370" s="14" t="n">
        <v>166</v>
      </c>
      <c r="F370" s="14" t="n">
        <v>24</v>
      </c>
      <c r="G370" s="14" t="n">
        <v>3992</v>
      </c>
      <c r="H370" s="14" t="n">
        <v>568</v>
      </c>
      <c r="I370" s="14" t="n">
        <v>3424</v>
      </c>
      <c r="J370" s="15" t="n">
        <v>240.5</v>
      </c>
      <c r="K370" s="15" t="n">
        <v>236.58</v>
      </c>
      <c r="L370" s="17">
        <f>F370*(K370-J370)</f>
        <v/>
      </c>
    </row>
    <row r="371" ht="16.5" customHeight="1">
      <c r="D371" s="13" t="inlineStr">
        <is>
          <t>環球晶(6488)</t>
        </is>
      </c>
      <c r="E371" s="14" t="n">
        <v>0</v>
      </c>
      <c r="F371" s="14" t="n">
        <v>0</v>
      </c>
      <c r="G371" s="14" t="n">
        <v>3353</v>
      </c>
      <c r="H371" s="14" t="n">
        <v>2398</v>
      </c>
      <c r="I371" s="14" t="n">
        <v>955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主動統一台股增長(00981A)</t>
        </is>
      </c>
      <c r="E372" s="14" t="n">
        <v>1145</v>
      </c>
      <c r="F372" s="14" t="n">
        <v>197</v>
      </c>
      <c r="G372" s="14" t="n">
        <v>3338</v>
      </c>
      <c r="H372" s="14" t="n">
        <v>570</v>
      </c>
      <c r="I372" s="14" t="n">
        <v>2768</v>
      </c>
      <c r="J372" s="15" t="n">
        <v>29.16</v>
      </c>
      <c r="K372" s="15" t="n">
        <v>28.94</v>
      </c>
      <c r="L372" s="17">
        <f>F372*(K372-J372)</f>
        <v/>
      </c>
    </row>
    <row r="373" ht="16.5" customHeight="1">
      <c r="D373" s="13" t="inlineStr">
        <is>
          <t>啟��(6285)</t>
        </is>
      </c>
      <c r="E373" s="14" t="n">
        <v>125</v>
      </c>
      <c r="F373" s="14" t="n">
        <v>34</v>
      </c>
      <c r="G373" s="14" t="n">
        <v>3264</v>
      </c>
      <c r="H373" s="14" t="n">
        <v>876</v>
      </c>
      <c r="I373" s="14" t="n">
        <v>2388</v>
      </c>
      <c r="J373" s="15" t="n">
        <v>261.1</v>
      </c>
      <c r="K373" s="15" t="n">
        <v>257.56</v>
      </c>
      <c r="L373" s="17">
        <f>F373*(K373-J373)</f>
        <v/>
      </c>
    </row>
    <row r="374" ht="16.5" customHeight="1">
      <c r="D374" s="13" t="inlineStr">
        <is>
          <t>金居(8358)</t>
        </is>
      </c>
      <c r="E374" s="14" t="n">
        <v>0</v>
      </c>
      <c r="F374" s="14" t="n">
        <v>0</v>
      </c>
      <c r="G374" s="14" t="n">
        <v>2753</v>
      </c>
      <c r="H374" s="14" t="n">
        <v>1181</v>
      </c>
      <c r="I374" s="14" t="n">
        <v>1572</v>
      </c>
      <c r="J374" s="15" t="n">
        <v>0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403</v>
      </c>
      <c r="F376" s="14" t="n">
        <v>88</v>
      </c>
      <c r="G376" s="14" t="n">
        <v>11003</v>
      </c>
      <c r="H376" s="14" t="n">
        <v>2440</v>
      </c>
      <c r="I376" s="14" t="n">
        <v>8563</v>
      </c>
      <c r="J376" s="15" t="n">
        <v>273.04</v>
      </c>
      <c r="K376" s="15" t="n">
        <v>277.28</v>
      </c>
      <c r="L376" s="16">
        <f>F376*(K376-J376)</f>
        <v/>
      </c>
    </row>
    <row r="377" ht="16.5" customHeight="1">
      <c r="D377" s="13" t="inlineStr">
        <is>
          <t>金居(8358)</t>
        </is>
      </c>
      <c r="E377" s="14" t="n">
        <v>207</v>
      </c>
      <c r="F377" s="14" t="n">
        <v>93</v>
      </c>
      <c r="G377" s="14" t="n">
        <v>9796</v>
      </c>
      <c r="H377" s="14" t="n">
        <v>4385</v>
      </c>
      <c r="I377" s="14" t="n">
        <v>5411</v>
      </c>
      <c r="J377" s="15" t="n">
        <v>473.25</v>
      </c>
      <c r="K377" s="15" t="n">
        <v>471.51</v>
      </c>
      <c r="L377" s="17">
        <f>F377*(K377-J377)</f>
        <v/>
      </c>
    </row>
    <row r="378" ht="16.5" customHeight="1">
      <c r="D378" s="13" t="inlineStr">
        <is>
          <t>聯發科(2454)</t>
        </is>
      </c>
      <c r="E378" s="14" t="n">
        <v>0</v>
      </c>
      <c r="F378" s="14" t="n">
        <v>0</v>
      </c>
      <c r="G378" s="14" t="n">
        <v>9450</v>
      </c>
      <c r="H378" s="14" t="n">
        <v>1669</v>
      </c>
      <c r="I378" s="14" t="n">
        <v>7781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南茂(8150)</t>
        </is>
      </c>
      <c r="E379" s="14" t="n">
        <v>501</v>
      </c>
      <c r="F379" s="14" t="n">
        <v>664</v>
      </c>
      <c r="G379" s="14" t="n">
        <v>4858</v>
      </c>
      <c r="H379" s="14" t="n">
        <v>5935</v>
      </c>
      <c r="I379" s="14" t="n">
        <v>-1077</v>
      </c>
      <c r="J379" s="15" t="n">
        <v>96.95999999999999</v>
      </c>
      <c r="K379" s="15" t="n">
        <v>89.38</v>
      </c>
      <c r="L379" s="17">
        <f>F379*(K379-J379)</f>
        <v/>
      </c>
    </row>
    <row r="380" ht="16.5" customHeight="1">
      <c r="D380" s="13" t="inlineStr">
        <is>
          <t>采鈺(6789)</t>
        </is>
      </c>
      <c r="E380" s="14" t="n">
        <v>75</v>
      </c>
      <c r="F380" s="14" t="n">
        <v>2</v>
      </c>
      <c r="G380" s="14" t="n">
        <v>4508</v>
      </c>
      <c r="H380" s="14" t="n">
        <v>142</v>
      </c>
      <c r="I380" s="14" t="n">
        <v>4366</v>
      </c>
      <c r="J380" s="15" t="n">
        <v>601.09</v>
      </c>
      <c r="K380" s="15" t="n">
        <v>710.5</v>
      </c>
      <c r="L380" s="16">
        <f>F380*(K380-J380)</f>
        <v/>
      </c>
    </row>
    <row r="381" ht="16.5" customHeight="1">
      <c r="D381" s="13" t="inlineStr">
        <is>
          <t>順德(2351)</t>
        </is>
      </c>
      <c r="E381" s="14" t="n">
        <v>242</v>
      </c>
      <c r="F381" s="14" t="n">
        <v>21</v>
      </c>
      <c r="G381" s="14" t="n">
        <v>4340</v>
      </c>
      <c r="H381" s="14" t="n">
        <v>370</v>
      </c>
      <c r="I381" s="14" t="n">
        <v>3970</v>
      </c>
      <c r="J381" s="15" t="n">
        <v>179.36</v>
      </c>
      <c r="K381" s="15" t="n">
        <v>175.95</v>
      </c>
      <c r="L381" s="17">
        <f>F381*(K381-J381)</f>
        <v/>
      </c>
    </row>
    <row r="382" ht="16.5" customHeight="1">
      <c r="D382" s="13" t="inlineStr">
        <is>
          <t>頎邦(6147)</t>
        </is>
      </c>
      <c r="E382" s="14" t="n">
        <v>233</v>
      </c>
      <c r="F382" s="14" t="n">
        <v>114</v>
      </c>
      <c r="G382" s="14" t="n">
        <v>4307</v>
      </c>
      <c r="H382" s="14" t="n">
        <v>2225</v>
      </c>
      <c r="I382" s="14" t="n">
        <v>2082</v>
      </c>
      <c r="J382" s="15" t="n">
        <v>184.85</v>
      </c>
      <c r="K382" s="15" t="n">
        <v>195.21</v>
      </c>
      <c r="L382" s="16">
        <f>F382*(K382-J382)</f>
        <v/>
      </c>
    </row>
    <row r="383" ht="16.5" customHeight="1">
      <c r="D383" s="13" t="inlineStr">
        <is>
          <t>蔚華科(3055)</t>
        </is>
      </c>
      <c r="E383" s="14" t="n">
        <v>447</v>
      </c>
      <c r="F383" s="14" t="n">
        <v>197</v>
      </c>
      <c r="G383" s="14" t="n">
        <v>3953</v>
      </c>
      <c r="H383" s="14" t="n">
        <v>1757</v>
      </c>
      <c r="I383" s="14" t="n">
        <v>2196</v>
      </c>
      <c r="J383" s="15" t="n">
        <v>88.44</v>
      </c>
      <c r="K383" s="15" t="n">
        <v>89.17</v>
      </c>
      <c r="L383" s="16">
        <f>F383*(K383-J383)</f>
        <v/>
      </c>
    </row>
    <row r="384" ht="16.5" customHeight="1">
      <c r="D384" s="13" t="inlineStr">
        <is>
          <t>聯電(2303)</t>
        </is>
      </c>
      <c r="E384" s="14" t="n">
        <v>405</v>
      </c>
      <c r="F384" s="14" t="n">
        <v>257</v>
      </c>
      <c r="G384" s="14" t="n">
        <v>3801</v>
      </c>
      <c r="H384" s="14" t="n">
        <v>2449</v>
      </c>
      <c r="I384" s="14" t="n">
        <v>1352</v>
      </c>
      <c r="J384" s="15" t="n">
        <v>93.84999999999999</v>
      </c>
      <c r="K384" s="15" t="n">
        <v>95.3</v>
      </c>
      <c r="L384" s="16">
        <f>F384*(K384-J384)</f>
        <v/>
      </c>
    </row>
    <row r="385" ht="16.5" customHeight="1">
      <c r="D385" s="13" t="inlineStr">
        <is>
          <t>啟��(6285)</t>
        </is>
      </c>
      <c r="E385" s="14" t="n">
        <v>134</v>
      </c>
      <c r="F385" s="14" t="n">
        <v>280</v>
      </c>
      <c r="G385" s="14" t="n">
        <v>3441</v>
      </c>
      <c r="H385" s="14" t="n">
        <v>7012</v>
      </c>
      <c r="I385" s="14" t="n">
        <v>-3571</v>
      </c>
      <c r="J385" s="15" t="n">
        <v>256.79</v>
      </c>
      <c r="K385" s="15" t="n">
        <v>250.41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華邦電(2344)</t>
        </is>
      </c>
      <c r="E387" s="14" t="n">
        <v>1742</v>
      </c>
      <c r="F387" s="14" t="n">
        <v>558</v>
      </c>
      <c r="G387" s="14" t="n">
        <v>18858</v>
      </c>
      <c r="H387" s="14" t="n">
        <v>5988</v>
      </c>
      <c r="I387" s="14" t="n">
        <v>12870</v>
      </c>
      <c r="J387" s="15" t="n">
        <v>108.26</v>
      </c>
      <c r="K387" s="15" t="n">
        <v>107.32</v>
      </c>
      <c r="L387" s="17">
        <f>F387*(K387-J387)</f>
        <v/>
      </c>
    </row>
    <row r="388" ht="16.5" customHeight="1">
      <c r="D388" s="13" t="inlineStr">
        <is>
          <t>健策(3653)</t>
        </is>
      </c>
      <c r="E388" s="14" t="n">
        <v>0</v>
      </c>
      <c r="F388" s="14" t="n">
        <v>0</v>
      </c>
      <c r="G388" s="14" t="n">
        <v>13612</v>
      </c>
      <c r="H388" s="14" t="n">
        <v>500</v>
      </c>
      <c r="I388" s="14" t="n">
        <v>13112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台積電(2330)</t>
        </is>
      </c>
      <c r="E389" s="14" t="n">
        <v>0</v>
      </c>
      <c r="F389" s="14" t="n">
        <v>0</v>
      </c>
      <c r="G389" s="14" t="n">
        <v>8933</v>
      </c>
      <c r="H389" s="14" t="n">
        <v>2243</v>
      </c>
      <c r="I389" s="14" t="n">
        <v>6690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盟立(2464)</t>
        </is>
      </c>
      <c r="E390" s="14" t="n">
        <v>571</v>
      </c>
      <c r="F390" s="14" t="n">
        <v>530</v>
      </c>
      <c r="G390" s="14" t="n">
        <v>6812</v>
      </c>
      <c r="H390" s="14" t="n">
        <v>6230</v>
      </c>
      <c r="I390" s="14" t="n">
        <v>582</v>
      </c>
      <c r="J390" s="15" t="n">
        <v>119.3</v>
      </c>
      <c r="K390" s="15" t="n">
        <v>117.54</v>
      </c>
      <c r="L390" s="17">
        <f>F390*(K390-J390)</f>
        <v/>
      </c>
    </row>
    <row r="391" ht="16.5" customHeight="1">
      <c r="D391" s="13" t="inlineStr">
        <is>
          <t>南亞科(2408)</t>
        </is>
      </c>
      <c r="E391" s="14" t="n">
        <v>234</v>
      </c>
      <c r="F391" s="14" t="n">
        <v>185</v>
      </c>
      <c r="G391" s="14" t="n">
        <v>6470</v>
      </c>
      <c r="H391" s="14" t="n">
        <v>5042</v>
      </c>
      <c r="I391" s="14" t="n">
        <v>1428</v>
      </c>
      <c r="J391" s="15" t="n">
        <v>276.49</v>
      </c>
      <c r="K391" s="15" t="n">
        <v>272.51</v>
      </c>
      <c r="L391" s="17">
        <f>F391*(K391-J391)</f>
        <v/>
      </c>
    </row>
    <row r="392" ht="16.5" customHeight="1">
      <c r="D392" s="13" t="inlineStr">
        <is>
          <t>聯發科(2454)</t>
        </is>
      </c>
      <c r="E392" s="14" t="n">
        <v>0</v>
      </c>
      <c r="F392" s="14" t="n">
        <v>0</v>
      </c>
      <c r="G392" s="14" t="n">
        <v>6028</v>
      </c>
      <c r="H392" s="14" t="n">
        <v>8303</v>
      </c>
      <c r="I392" s="14" t="n">
        <v>-2275</v>
      </c>
      <c r="J392" s="15" t="n">
        <v>0</v>
      </c>
      <c r="K392" s="15" t="n">
        <v>0</v>
      </c>
      <c r="L392" s="16">
        <f>F392*(K392-J392)</f>
        <v/>
      </c>
    </row>
    <row r="393" ht="16.5" customHeight="1">
      <c r="D393" s="13" t="inlineStr">
        <is>
          <t>凌航(3135)</t>
        </is>
      </c>
      <c r="E393" s="14" t="n">
        <v>266</v>
      </c>
      <c r="F393" s="14" t="n">
        <v>124</v>
      </c>
      <c r="G393" s="14" t="n">
        <v>4464</v>
      </c>
      <c r="H393" s="14" t="n">
        <v>2048</v>
      </c>
      <c r="I393" s="14" t="n">
        <v>2416</v>
      </c>
      <c r="J393" s="15" t="n">
        <v>167.8</v>
      </c>
      <c r="K393" s="15" t="n">
        <v>165.19</v>
      </c>
      <c r="L393" s="17">
        <f>F393*(K393-J393)</f>
        <v/>
      </c>
    </row>
    <row r="394" ht="16.5" customHeight="1">
      <c r="D394" s="13" t="inlineStr">
        <is>
          <t>旺宏(2337)</t>
        </is>
      </c>
      <c r="E394" s="14" t="n">
        <v>270</v>
      </c>
      <c r="F394" s="14" t="n">
        <v>175</v>
      </c>
      <c r="G394" s="14" t="n">
        <v>4135</v>
      </c>
      <c r="H394" s="14" t="n">
        <v>2679</v>
      </c>
      <c r="I394" s="14" t="n">
        <v>1456</v>
      </c>
      <c r="J394" s="15" t="n">
        <v>153.14</v>
      </c>
      <c r="K394" s="15" t="n">
        <v>153.07</v>
      </c>
      <c r="L394" s="17">
        <f>F394*(K394-J394)</f>
        <v/>
      </c>
    </row>
    <row r="395" ht="16.5" customHeight="1">
      <c r="D395" s="13" t="inlineStr">
        <is>
          <t>光洋科(1785)</t>
        </is>
      </c>
      <c r="E395" s="14" t="n">
        <v>209</v>
      </c>
      <c r="F395" s="14" t="n">
        <v>132</v>
      </c>
      <c r="G395" s="14" t="n">
        <v>3501</v>
      </c>
      <c r="H395" s="14" t="n">
        <v>2254</v>
      </c>
      <c r="I395" s="14" t="n">
        <v>1247</v>
      </c>
      <c r="J395" s="15" t="n">
        <v>167.51</v>
      </c>
      <c r="K395" s="15" t="n">
        <v>170.77</v>
      </c>
      <c r="L395" s="16">
        <f>F395*(K395-J395)</f>
        <v/>
      </c>
    </row>
    <row r="396" ht="16.5" customHeight="1">
      <c r="D396" s="13" t="inlineStr">
        <is>
          <t>智邦(2345)</t>
        </is>
      </c>
      <c r="E396" s="14" t="n">
        <v>0</v>
      </c>
      <c r="F396" s="14" t="n">
        <v>0</v>
      </c>
      <c r="G396" s="14" t="n">
        <v>3272</v>
      </c>
      <c r="H396" s="14" t="n">
        <v>2184</v>
      </c>
      <c r="I396" s="14" t="n">
        <v>1088</v>
      </c>
      <c r="J396" s="15" t="n">
        <v>0</v>
      </c>
      <c r="K396" s="15" t="n">
        <v>0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世界(5347)</t>
        </is>
      </c>
      <c r="E398" s="14" t="n">
        <v>765</v>
      </c>
      <c r="F398" s="14" t="n">
        <v>28</v>
      </c>
      <c r="G398" s="14" t="n">
        <v>12853</v>
      </c>
      <c r="H398" s="14" t="n">
        <v>485</v>
      </c>
      <c r="I398" s="14" t="n">
        <v>12368</v>
      </c>
      <c r="J398" s="15" t="n">
        <v>168.02</v>
      </c>
      <c r="K398" s="15" t="n">
        <v>173.21</v>
      </c>
      <c r="L398" s="16">
        <f>F398*(K398-J398)</f>
        <v/>
      </c>
    </row>
    <row r="399" ht="16.5" customHeight="1">
      <c r="D399" s="13" t="inlineStr">
        <is>
          <t>台積電(2330)</t>
        </is>
      </c>
      <c r="E399" s="14" t="n">
        <v>0</v>
      </c>
      <c r="F399" s="14" t="n">
        <v>0</v>
      </c>
      <c r="G399" s="14" t="n">
        <v>5033</v>
      </c>
      <c r="H399" s="14" t="n">
        <v>2084</v>
      </c>
      <c r="I399" s="14" t="n">
        <v>2949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晶豪科(3006)</t>
        </is>
      </c>
      <c r="E400" s="14" t="n">
        <v>237</v>
      </c>
      <c r="F400" s="14" t="n">
        <v>298</v>
      </c>
      <c r="G400" s="14" t="n">
        <v>4817</v>
      </c>
      <c r="H400" s="14" t="n">
        <v>6188</v>
      </c>
      <c r="I400" s="14" t="n">
        <v>-1371</v>
      </c>
      <c r="J400" s="15" t="n">
        <v>203.26</v>
      </c>
      <c r="K400" s="15" t="n">
        <v>207.67</v>
      </c>
      <c r="L400" s="16">
        <f>F400*(K400-J400)</f>
        <v/>
      </c>
    </row>
    <row r="401" ht="16.5" customHeight="1">
      <c r="D401" s="13" t="inlineStr">
        <is>
          <t>南亞科(2408)</t>
        </is>
      </c>
      <c r="E401" s="14" t="n">
        <v>0</v>
      </c>
      <c r="F401" s="14" t="n">
        <v>0</v>
      </c>
      <c r="G401" s="14" t="n">
        <v>4036</v>
      </c>
      <c r="H401" s="14" t="n">
        <v>3713</v>
      </c>
      <c r="I401" s="14" t="n">
        <v>323</v>
      </c>
      <c r="J401" s="15" t="n">
        <v>0</v>
      </c>
      <c r="K401" s="15" t="n">
        <v>0</v>
      </c>
      <c r="L401" s="16">
        <f>F401*(K401-J401)</f>
        <v/>
      </c>
    </row>
    <row r="402" ht="16.5" customHeight="1">
      <c r="D402" s="13" t="inlineStr">
        <is>
          <t>旺宏(2337)</t>
        </is>
      </c>
      <c r="E402" s="14" t="n">
        <v>198</v>
      </c>
      <c r="F402" s="14" t="n">
        <v>79</v>
      </c>
      <c r="G402" s="14" t="n">
        <v>3059</v>
      </c>
      <c r="H402" s="14" t="n">
        <v>1206</v>
      </c>
      <c r="I402" s="14" t="n">
        <v>1853</v>
      </c>
      <c r="J402" s="15" t="n">
        <v>154.49</v>
      </c>
      <c r="K402" s="15" t="n">
        <v>152.65</v>
      </c>
      <c r="L402" s="17">
        <f>F402*(K402-J402)</f>
        <v/>
      </c>
    </row>
    <row r="403" ht="16.5" customHeight="1">
      <c r="D403" s="13" t="inlineStr">
        <is>
          <t>國巨*(2327)</t>
        </is>
      </c>
      <c r="E403" s="14" t="n">
        <v>69</v>
      </c>
      <c r="F403" s="14" t="n">
        <v>580</v>
      </c>
      <c r="G403" s="14" t="n">
        <v>2660</v>
      </c>
      <c r="H403" s="14" t="n">
        <v>22537</v>
      </c>
      <c r="I403" s="14" t="n">
        <v>-19877</v>
      </c>
      <c r="J403" s="15" t="n">
        <v>385.54</v>
      </c>
      <c r="K403" s="15" t="n">
        <v>388.56</v>
      </c>
      <c r="L403" s="16">
        <f>F403*(K403-J403)</f>
        <v/>
      </c>
    </row>
    <row r="404" ht="16.5" customHeight="1">
      <c r="D404" s="13" t="inlineStr">
        <is>
          <t>盟立(2464)</t>
        </is>
      </c>
      <c r="E404" s="14" t="n">
        <v>181</v>
      </c>
      <c r="F404" s="14" t="n">
        <v>237</v>
      </c>
      <c r="G404" s="14" t="n">
        <v>2125</v>
      </c>
      <c r="H404" s="14" t="n">
        <v>2807</v>
      </c>
      <c r="I404" s="14" t="n">
        <v>-682</v>
      </c>
      <c r="J404" s="15" t="n">
        <v>117.39</v>
      </c>
      <c r="K404" s="15" t="n">
        <v>118.45</v>
      </c>
      <c r="L404" s="16">
        <f>F404*(K404-J404)</f>
        <v/>
      </c>
    </row>
    <row r="405" ht="16.5" customHeight="1">
      <c r="D405" s="13" t="inlineStr">
        <is>
          <t>台光電(2383)</t>
        </is>
      </c>
      <c r="E405" s="14" t="n">
        <v>0</v>
      </c>
      <c r="F405" s="14" t="n">
        <v>0</v>
      </c>
      <c r="G405" s="14" t="n">
        <v>2001</v>
      </c>
      <c r="H405" s="14" t="n">
        <v>10</v>
      </c>
      <c r="I405" s="14" t="n">
        <v>1991</v>
      </c>
      <c r="J405" s="15" t="n">
        <v>0</v>
      </c>
      <c r="K405" s="15" t="n">
        <v>0</v>
      </c>
      <c r="L405" s="16">
        <f>F405*(K405-J405)</f>
        <v/>
      </c>
    </row>
    <row r="406" ht="16.5" customHeight="1">
      <c r="D406" s="13" t="inlineStr">
        <is>
          <t>群聯(8299)</t>
        </is>
      </c>
      <c r="E406" s="14" t="n">
        <v>0</v>
      </c>
      <c r="F406" s="14" t="n">
        <v>0</v>
      </c>
      <c r="G406" s="14" t="n">
        <v>1957</v>
      </c>
      <c r="H406" s="14" t="n">
        <v>2559</v>
      </c>
      <c r="I406" s="14" t="n">
        <v>-602</v>
      </c>
      <c r="J406" s="15" t="n">
        <v>0</v>
      </c>
      <c r="K406" s="15" t="n">
        <v>0</v>
      </c>
      <c r="L406" s="16">
        <f>F406*(K406-J406)</f>
        <v/>
      </c>
    </row>
    <row r="407" ht="16.5" customHeight="1">
      <c r="D407" s="13" t="inlineStr">
        <is>
          <t>力積電(6770)</t>
        </is>
      </c>
      <c r="E407" s="14" t="n">
        <v>286</v>
      </c>
      <c r="F407" s="14" t="n">
        <v>3226</v>
      </c>
      <c r="G407" s="14" t="n">
        <v>1787</v>
      </c>
      <c r="H407" s="14" t="n">
        <v>19752</v>
      </c>
      <c r="I407" s="14" t="n">
        <v>-17965</v>
      </c>
      <c r="J407" s="15" t="n">
        <v>62.48</v>
      </c>
      <c r="K407" s="15" t="n">
        <v>61.23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正文(4906)</t>
        </is>
      </c>
      <c r="E410" s="14" t="n">
        <v>7647</v>
      </c>
      <c r="F410" s="14" t="n">
        <v>9603</v>
      </c>
      <c r="G410" s="14" t="n">
        <v>32519</v>
      </c>
      <c r="H410" s="14" t="n">
        <v>40580</v>
      </c>
      <c r="I410" s="14" t="n">
        <v>-8061</v>
      </c>
      <c r="J410" s="15" t="n">
        <v>42.52</v>
      </c>
      <c r="K410" s="15" t="n">
        <v>42.26</v>
      </c>
      <c r="L410" s="17">
        <f>F410*(K410-J410)</f>
        <v/>
      </c>
    </row>
    <row r="411" ht="16.5" customHeight="1">
      <c r="D411" s="13" t="inlineStr">
        <is>
          <t>大聯大(3702)</t>
        </is>
      </c>
      <c r="E411" s="14" t="n">
        <v>2806</v>
      </c>
      <c r="F411" s="14" t="n">
        <v>24</v>
      </c>
      <c r="G411" s="14" t="n">
        <v>31816</v>
      </c>
      <c r="H411" s="14" t="n">
        <v>267</v>
      </c>
      <c r="I411" s="14" t="n">
        <v>31549</v>
      </c>
      <c r="J411" s="15" t="n">
        <v>113.39</v>
      </c>
      <c r="K411" s="15" t="n">
        <v>111.25</v>
      </c>
      <c r="L411" s="17">
        <f>F411*(K411-J411)</f>
        <v/>
      </c>
    </row>
    <row r="412" ht="16.5" customHeight="1">
      <c r="D412" s="13" t="inlineStr">
        <is>
          <t>瑞昱(2379)</t>
        </is>
      </c>
      <c r="E412" s="14" t="n">
        <v>497</v>
      </c>
      <c r="F412" s="14" t="n">
        <v>17</v>
      </c>
      <c r="G412" s="14" t="n">
        <v>29423</v>
      </c>
      <c r="H412" s="14" t="n">
        <v>987</v>
      </c>
      <c r="I412" s="14" t="n">
        <v>28436</v>
      </c>
      <c r="J412" s="15" t="n">
        <v>592.01</v>
      </c>
      <c r="K412" s="15" t="n">
        <v>580.41</v>
      </c>
      <c r="L412" s="17">
        <f>F412*(K412-J412)</f>
        <v/>
      </c>
    </row>
    <row r="413" ht="16.5" customHeight="1">
      <c r="D413" s="13" t="inlineStr">
        <is>
          <t>台表科(6278)</t>
        </is>
      </c>
      <c r="E413" s="14" t="n">
        <v>605</v>
      </c>
      <c r="F413" s="14" t="n">
        <v>20</v>
      </c>
      <c r="G413" s="14" t="n">
        <v>12122</v>
      </c>
      <c r="H413" s="14" t="n">
        <v>391</v>
      </c>
      <c r="I413" s="14" t="n">
        <v>11731</v>
      </c>
      <c r="J413" s="15" t="n">
        <v>200.36</v>
      </c>
      <c r="K413" s="15" t="n">
        <v>195.3</v>
      </c>
      <c r="L413" s="17">
        <f>F413*(K413-J413)</f>
        <v/>
      </c>
    </row>
    <row r="414" ht="16.5" customHeight="1">
      <c r="D414" s="13" t="inlineStr">
        <is>
          <t>聯發科(2454)</t>
        </is>
      </c>
      <c r="E414" s="14" t="n">
        <v>0</v>
      </c>
      <c r="F414" s="14" t="n">
        <v>0</v>
      </c>
      <c r="G414" s="14" t="n">
        <v>10676</v>
      </c>
      <c r="H414" s="14" t="n">
        <v>1538</v>
      </c>
      <c r="I414" s="14" t="n">
        <v>9138</v>
      </c>
      <c r="J414" s="15" t="n">
        <v>0</v>
      </c>
      <c r="K414" s="15" t="n">
        <v>0</v>
      </c>
      <c r="L414" s="16">
        <f>F414*(K414-J414)</f>
        <v/>
      </c>
    </row>
    <row r="415" ht="16.5" customHeight="1">
      <c r="D415" s="13" t="inlineStr">
        <is>
          <t>全宇昕(6651)</t>
        </is>
      </c>
      <c r="E415" s="14" t="n">
        <v>779</v>
      </c>
      <c r="F415" s="14" t="n">
        <v>2</v>
      </c>
      <c r="G415" s="14" t="n">
        <v>9464</v>
      </c>
      <c r="H415" s="14" t="n">
        <v>24</v>
      </c>
      <c r="I415" s="14" t="n">
        <v>9440</v>
      </c>
      <c r="J415" s="15" t="n">
        <v>121.49</v>
      </c>
      <c r="K415" s="15" t="n">
        <v>122.5</v>
      </c>
      <c r="L415" s="16">
        <f>F415*(K415-J415)</f>
        <v/>
      </c>
    </row>
    <row r="416" ht="16.5" customHeight="1">
      <c r="D416" s="13" t="inlineStr">
        <is>
          <t>亞力(1514)</t>
        </is>
      </c>
      <c r="E416" s="14" t="n">
        <v>532</v>
      </c>
      <c r="F416" s="14" t="n">
        <v>34</v>
      </c>
      <c r="G416" s="14" t="n">
        <v>6915</v>
      </c>
      <c r="H416" s="14" t="n">
        <v>425</v>
      </c>
      <c r="I416" s="14" t="n">
        <v>6490</v>
      </c>
      <c r="J416" s="15" t="n">
        <v>129.98</v>
      </c>
      <c r="K416" s="15" t="n">
        <v>125</v>
      </c>
      <c r="L416" s="17">
        <f>F416*(K416-J416)</f>
        <v/>
      </c>
    </row>
    <row r="417" ht="16.5" customHeight="1">
      <c r="D417" s="13" t="inlineStr">
        <is>
          <t>主動統一台股增長(00981A)</t>
        </is>
      </c>
      <c r="E417" s="14" t="n">
        <v>1738</v>
      </c>
      <c r="F417" s="14" t="n">
        <v>1506</v>
      </c>
      <c r="G417" s="14" t="n">
        <v>5028</v>
      </c>
      <c r="H417" s="14" t="n">
        <v>4355</v>
      </c>
      <c r="I417" s="14" t="n">
        <v>673</v>
      </c>
      <c r="J417" s="15" t="n">
        <v>28.93</v>
      </c>
      <c r="K417" s="15" t="n">
        <v>28.92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0</v>
      </c>
      <c r="F418" s="14" t="n">
        <v>0</v>
      </c>
      <c r="G418" s="14" t="n">
        <v>4892</v>
      </c>
      <c r="H418" s="14" t="n">
        <v>3748</v>
      </c>
      <c r="I418" s="14" t="n">
        <v>1144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聯發科(2454)</t>
        </is>
      </c>
      <c r="E420" s="14" t="n">
        <v>0</v>
      </c>
      <c r="F420" s="14" t="n">
        <v>0</v>
      </c>
      <c r="G420" s="14" t="n">
        <v>11326</v>
      </c>
      <c r="H420" s="14" t="n">
        <v>940</v>
      </c>
      <c r="I420" s="14" t="n">
        <v>10386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欣興(3037)</t>
        </is>
      </c>
      <c r="E421" s="14" t="n">
        <v>0</v>
      </c>
      <c r="F421" s="14" t="n">
        <v>0</v>
      </c>
      <c r="G421" s="14" t="n">
        <v>5522</v>
      </c>
      <c r="H421" s="14" t="n">
        <v>3449</v>
      </c>
      <c r="I421" s="14" t="n">
        <v>2073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新應材(4749)</t>
        </is>
      </c>
      <c r="E422" s="14" t="n">
        <v>0</v>
      </c>
      <c r="F422" s="14" t="n">
        <v>0</v>
      </c>
      <c r="G422" s="14" t="n">
        <v>5508</v>
      </c>
      <c r="H422" s="14" t="n">
        <v>5975</v>
      </c>
      <c r="I422" s="14" t="n">
        <v>-467</v>
      </c>
      <c r="J422" s="15" t="n">
        <v>0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國巨*(2327)</t>
        </is>
      </c>
      <c r="E423" s="14" t="n">
        <v>137</v>
      </c>
      <c r="F423" s="14" t="n">
        <v>69</v>
      </c>
      <c r="G423" s="14" t="n">
        <v>5295</v>
      </c>
      <c r="H423" s="14" t="n">
        <v>2691</v>
      </c>
      <c r="I423" s="14" t="n">
        <v>2604</v>
      </c>
      <c r="J423" s="15" t="n">
        <v>386.52</v>
      </c>
      <c r="K423" s="15" t="n">
        <v>389.97</v>
      </c>
      <c r="L423" s="16">
        <f>F423*(K423-J423)</f>
        <v/>
      </c>
    </row>
    <row r="424" ht="16.5" customHeight="1">
      <c r="D424" s="13" t="inlineStr">
        <is>
          <t>南電(8046)</t>
        </is>
      </c>
      <c r="E424" s="14" t="n">
        <v>0</v>
      </c>
      <c r="F424" s="14" t="n">
        <v>0</v>
      </c>
      <c r="G424" s="14" t="n">
        <v>3861</v>
      </c>
      <c r="H424" s="14" t="n">
        <v>3096</v>
      </c>
      <c r="I424" s="14" t="n">
        <v>765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主動統一台股增長(00981A)</t>
        </is>
      </c>
      <c r="E425" s="14" t="n">
        <v>1201</v>
      </c>
      <c r="F425" s="14" t="n">
        <v>725</v>
      </c>
      <c r="G425" s="14" t="n">
        <v>3476</v>
      </c>
      <c r="H425" s="14" t="n">
        <v>2103</v>
      </c>
      <c r="I425" s="14" t="n">
        <v>1373</v>
      </c>
      <c r="J425" s="15" t="n">
        <v>28.94</v>
      </c>
      <c r="K425" s="15" t="n">
        <v>29</v>
      </c>
      <c r="L425" s="16">
        <f>F425*(K425-J425)</f>
        <v/>
      </c>
    </row>
    <row r="426" ht="16.5" customHeight="1">
      <c r="D426" s="13" t="inlineStr">
        <is>
          <t>達發(6526)</t>
        </is>
      </c>
      <c r="E426" s="14" t="n">
        <v>0</v>
      </c>
      <c r="F426" s="14" t="n">
        <v>0</v>
      </c>
      <c r="G426" s="14" t="n">
        <v>3442</v>
      </c>
      <c r="H426" s="14" t="n">
        <v>234</v>
      </c>
      <c r="I426" s="14" t="n">
        <v>3208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聯鈞(3450)</t>
        </is>
      </c>
      <c r="E427" s="14" t="n">
        <v>0</v>
      </c>
      <c r="F427" s="14" t="n">
        <v>0</v>
      </c>
      <c r="G427" s="14" t="n">
        <v>3323</v>
      </c>
      <c r="H427" s="14" t="n">
        <v>4394</v>
      </c>
      <c r="I427" s="14" t="n">
        <v>-1071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玉山金(2884)</t>
        </is>
      </c>
      <c r="E428" s="14" t="n">
        <v>978</v>
      </c>
      <c r="F428" s="14" t="n">
        <v>6</v>
      </c>
      <c r="G428" s="14" t="n">
        <v>3169</v>
      </c>
      <c r="H428" s="14" t="n">
        <v>19</v>
      </c>
      <c r="I428" s="14" t="n">
        <v>3150</v>
      </c>
      <c r="J428" s="15" t="n">
        <v>32.41</v>
      </c>
      <c r="K428" s="15" t="n">
        <v>32.17</v>
      </c>
      <c r="L428" s="17">
        <f>F428*(K428-J428)</f>
        <v/>
      </c>
    </row>
    <row r="429" ht="16.5" customHeight="1">
      <c r="D429" s="13" t="inlineStr">
        <is>
          <t>智邦(2345)</t>
        </is>
      </c>
      <c r="E429" s="14" t="n">
        <v>0</v>
      </c>
      <c r="F429" s="14" t="n">
        <v>0</v>
      </c>
      <c r="G429" s="14" t="n">
        <v>3163</v>
      </c>
      <c r="H429" s="14" t="n">
        <v>489</v>
      </c>
      <c r="I429" s="14" t="n">
        <v>2674</v>
      </c>
      <c r="J429" s="15" t="n">
        <v>0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2026-05-10T02:16:01Z</dcterms:modified>
</cp:coreProperties>
</file>