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1" sheetId="1" state="visible" r:id="rId1"/>
    <sheet name="20260508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9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0</v>
      </c>
      <c r="F4" s="14" t="n">
        <v>0</v>
      </c>
      <c r="G4" s="14" t="n">
        <v>14676</v>
      </c>
      <c r="H4" s="14" t="n">
        <v>24571</v>
      </c>
      <c r="I4" s="14" t="n">
        <v>-9895</v>
      </c>
      <c r="J4" s="15" t="n">
        <v>0</v>
      </c>
      <c r="K4" s="15" t="n">
        <v>0</v>
      </c>
      <c r="L4" s="16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0</v>
      </c>
      <c r="F15" s="14" t="n">
        <v>0</v>
      </c>
      <c r="G15" s="14" t="n">
        <v>9942</v>
      </c>
      <c r="H15" s="14" t="n">
        <v>3878</v>
      </c>
      <c r="I15" s="14" t="n">
        <v>6064</v>
      </c>
      <c r="J15" s="15" t="n">
        <v>0</v>
      </c>
      <c r="K15" s="15" t="n">
        <v>0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0</v>
      </c>
      <c r="F17" s="14" t="n">
        <v>0</v>
      </c>
      <c r="G17" s="14" t="n">
        <v>6855</v>
      </c>
      <c r="H17" s="14" t="n">
        <v>7477</v>
      </c>
      <c r="I17" s="14" t="n">
        <v>-622</v>
      </c>
      <c r="J17" s="15" t="n">
        <v>0</v>
      </c>
      <c r="K17" s="15" t="n">
        <v>0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0</v>
      </c>
      <c r="F19" s="14" t="n">
        <v>0</v>
      </c>
      <c r="G19" s="14" t="n">
        <v>5988</v>
      </c>
      <c r="H19" s="14" t="n">
        <v>1468</v>
      </c>
      <c r="I19" s="14" t="n">
        <v>4520</v>
      </c>
      <c r="J19" s="15" t="n">
        <v>0</v>
      </c>
      <c r="K19" s="15" t="n">
        <v>0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0</v>
      </c>
      <c r="F24" s="14" t="n">
        <v>0</v>
      </c>
      <c r="G24" s="14" t="n">
        <v>1613</v>
      </c>
      <c r="H24" s="14" t="n">
        <v>23</v>
      </c>
      <c r="I24" s="14" t="n">
        <v>1590</v>
      </c>
      <c r="J24" s="15" t="n">
        <v>0</v>
      </c>
      <c r="K24" s="15" t="n">
        <v>0</v>
      </c>
      <c r="L24" s="16">
        <f>F24*(K24-J24)</f>
        <v/>
      </c>
    </row>
    <row r="25" ht="16.5" customHeight="1">
      <c r="D25" s="13" t="inlineStr">
        <is>
          <t>緯穎(6669)</t>
        </is>
      </c>
      <c r="E25" s="14" t="n">
        <v>0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0</v>
      </c>
      <c r="F27" s="14" t="n">
        <v>0</v>
      </c>
      <c r="G27" s="14" t="n">
        <v>1154</v>
      </c>
      <c r="H27" s="14" t="n">
        <v>21</v>
      </c>
      <c r="I27" s="14" t="n">
        <v>1133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0</v>
      </c>
      <c r="F29" s="14" t="n">
        <v>0</v>
      </c>
      <c r="G29" s="14" t="n">
        <v>1071</v>
      </c>
      <c r="H29" s="14" t="n">
        <v>8</v>
      </c>
      <c r="I29" s="14" t="n">
        <v>1063</v>
      </c>
      <c r="J29" s="15" t="n">
        <v>0</v>
      </c>
      <c r="K29" s="15" t="n">
        <v>0</v>
      </c>
      <c r="L29" s="16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0</v>
      </c>
      <c r="F31" s="14" t="n">
        <v>0</v>
      </c>
      <c r="G31" s="14" t="n">
        <v>787</v>
      </c>
      <c r="H31" s="14" t="n">
        <v>5</v>
      </c>
      <c r="I31" s="14" t="n">
        <v>782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智邦(2345)</t>
        </is>
      </c>
      <c r="E32" s="14" t="n">
        <v>0</v>
      </c>
      <c r="F32" s="14" t="n">
        <v>0</v>
      </c>
      <c r="G32" s="14" t="n">
        <v>780</v>
      </c>
      <c r="H32" s="14" t="n">
        <v>3</v>
      </c>
      <c r="I32" s="14" t="n">
        <v>777</v>
      </c>
      <c r="J32" s="15" t="n">
        <v>0</v>
      </c>
      <c r="K32" s="15" t="n">
        <v>0</v>
      </c>
      <c r="L32" s="16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0</v>
      </c>
      <c r="F44" s="14" t="n">
        <v>0</v>
      </c>
      <c r="G44" s="14" t="n">
        <v>4209</v>
      </c>
      <c r="H44" s="14" t="n">
        <v>1853</v>
      </c>
      <c r="I44" s="14" t="n">
        <v>2356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0</v>
      </c>
      <c r="F47" s="14" t="n">
        <v>0</v>
      </c>
      <c r="G47" s="14" t="n">
        <v>4369</v>
      </c>
      <c r="H47" s="14" t="n">
        <v>1355</v>
      </c>
      <c r="I47" s="14" t="n">
        <v>3014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0</v>
      </c>
      <c r="F49" s="14" t="n">
        <v>0</v>
      </c>
      <c r="G49" s="14" t="n">
        <v>2802</v>
      </c>
      <c r="H49" s="14" t="n">
        <v>519</v>
      </c>
      <c r="I49" s="14" t="n">
        <v>2283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0</v>
      </c>
      <c r="F52" s="14" t="n">
        <v>0</v>
      </c>
      <c r="G52" s="14" t="n">
        <v>2416</v>
      </c>
      <c r="H52" s="14" t="n">
        <v>2769</v>
      </c>
      <c r="I52" s="14" t="n">
        <v>-353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0</v>
      </c>
      <c r="F54" s="14" t="n">
        <v>0</v>
      </c>
      <c r="G54" s="14" t="n">
        <v>2170</v>
      </c>
      <c r="H54" s="14" t="n">
        <v>1526</v>
      </c>
      <c r="I54" s="14" t="n">
        <v>644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0</v>
      </c>
      <c r="F62" s="14" t="n">
        <v>0</v>
      </c>
      <c r="G62" s="14" t="n">
        <v>13802</v>
      </c>
      <c r="H62" s="14" t="n">
        <v>1236</v>
      </c>
      <c r="I62" s="14" t="n">
        <v>12566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0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0</v>
      </c>
      <c r="L71" s="16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0</v>
      </c>
      <c r="F73" s="14" t="n">
        <v>0</v>
      </c>
      <c r="G73" s="14" t="n">
        <v>7636</v>
      </c>
      <c r="H73" s="14" t="n">
        <v>6386</v>
      </c>
      <c r="I73" s="14" t="n">
        <v>1250</v>
      </c>
      <c r="J73" s="15" t="n">
        <v>0</v>
      </c>
      <c r="K73" s="15" t="n">
        <v>0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0</v>
      </c>
      <c r="F75" s="14" t="n">
        <v>0</v>
      </c>
      <c r="G75" s="14" t="n">
        <v>5405</v>
      </c>
      <c r="H75" s="14" t="n">
        <v>487</v>
      </c>
      <c r="I75" s="14" t="n">
        <v>4918</v>
      </c>
      <c r="J75" s="15" t="n">
        <v>0</v>
      </c>
      <c r="K75" s="15" t="n">
        <v>0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0</v>
      </c>
      <c r="F79" s="14" t="n">
        <v>0</v>
      </c>
      <c r="G79" s="14" t="n">
        <v>54376</v>
      </c>
      <c r="H79" s="14" t="n">
        <v>2181</v>
      </c>
      <c r="I79" s="14" t="n">
        <v>52195</v>
      </c>
      <c r="J79" s="15" t="n">
        <v>0</v>
      </c>
      <c r="K79" s="15" t="n">
        <v>0</v>
      </c>
      <c r="L79" s="16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0</v>
      </c>
      <c r="F84" s="14" t="n">
        <v>0</v>
      </c>
      <c r="G84" s="14" t="n">
        <v>12446</v>
      </c>
      <c r="H84" s="14" t="n">
        <v>4319</v>
      </c>
      <c r="I84" s="14" t="n">
        <v>8127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0</v>
      </c>
      <c r="F88" s="14" t="n">
        <v>0</v>
      </c>
      <c r="G88" s="14" t="n">
        <v>8955</v>
      </c>
      <c r="H88" s="14" t="n">
        <v>3152</v>
      </c>
      <c r="I88" s="14" t="n">
        <v>5803</v>
      </c>
      <c r="J88" s="15" t="n">
        <v>0</v>
      </c>
      <c r="K88" s="15" t="n">
        <v>0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0</v>
      </c>
      <c r="F91" s="14" t="n">
        <v>0</v>
      </c>
      <c r="G91" s="14" t="n">
        <v>3376</v>
      </c>
      <c r="H91" s="14" t="n">
        <v>8810</v>
      </c>
      <c r="I91" s="14" t="n">
        <v>-5434</v>
      </c>
      <c r="J91" s="15" t="n">
        <v>0</v>
      </c>
      <c r="K91" s="15" t="n">
        <v>0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0</v>
      </c>
      <c r="F93" s="14" t="n">
        <v>0</v>
      </c>
      <c r="G93" s="14" t="n">
        <v>3003</v>
      </c>
      <c r="H93" s="14" t="n">
        <v>7607</v>
      </c>
      <c r="I93" s="14" t="n">
        <v>-4604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聯發科(2454)</t>
        </is>
      </c>
      <c r="E94" s="14" t="n">
        <v>0</v>
      </c>
      <c r="F94" s="14" t="n">
        <v>0</v>
      </c>
      <c r="G94" s="14" t="n">
        <v>1935</v>
      </c>
      <c r="H94" s="14" t="n">
        <v>1561</v>
      </c>
      <c r="I94" s="14" t="n">
        <v>374</v>
      </c>
      <c r="J94" s="15" t="n">
        <v>0</v>
      </c>
      <c r="K94" s="15" t="n">
        <v>0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0</v>
      </c>
      <c r="F95" s="14" t="n">
        <v>0</v>
      </c>
      <c r="G95" s="14" t="n">
        <v>1875</v>
      </c>
      <c r="H95" s="14" t="n">
        <v>200</v>
      </c>
      <c r="I95" s="14" t="n">
        <v>1675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0</v>
      </c>
      <c r="F96" s="14" t="n">
        <v>0</v>
      </c>
      <c r="G96" s="14" t="n">
        <v>1798</v>
      </c>
      <c r="H96" s="14" t="n">
        <v>1308</v>
      </c>
      <c r="I96" s="14" t="n">
        <v>490</v>
      </c>
      <c r="J96" s="15" t="n">
        <v>0</v>
      </c>
      <c r="K96" s="15" t="n">
        <v>0</v>
      </c>
      <c r="L96" s="16">
        <f>F96*(K96-J96)</f>
        <v/>
      </c>
    </row>
    <row r="97" ht="16.5" customHeight="1">
      <c r="D97" s="13" t="inlineStr">
        <is>
          <t>緯穎(6669)</t>
        </is>
      </c>
      <c r="E97" s="14" t="n">
        <v>0</v>
      </c>
      <c r="F97" s="14" t="n">
        <v>0</v>
      </c>
      <c r="G97" s="14" t="n">
        <v>1633</v>
      </c>
      <c r="H97" s="14" t="n">
        <v>13</v>
      </c>
      <c r="I97" s="14" t="n">
        <v>1620</v>
      </c>
      <c r="J97" s="15" t="n">
        <v>0</v>
      </c>
      <c r="K97" s="15" t="n">
        <v>0</v>
      </c>
      <c r="L97" s="16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0</v>
      </c>
      <c r="F99" s="14" t="n">
        <v>0</v>
      </c>
      <c r="G99" s="14" t="n">
        <v>1231</v>
      </c>
      <c r="H99" s="14" t="n">
        <v>779</v>
      </c>
      <c r="I99" s="14" t="n">
        <v>452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0</v>
      </c>
      <c r="F102" s="14" t="n">
        <v>0</v>
      </c>
      <c r="G102" s="14" t="n">
        <v>33149</v>
      </c>
      <c r="H102" s="14" t="n">
        <v>35770</v>
      </c>
      <c r="I102" s="14" t="n">
        <v>-2621</v>
      </c>
      <c r="J102" s="15" t="n">
        <v>0</v>
      </c>
      <c r="K102" s="15" t="n">
        <v>0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0</v>
      </c>
      <c r="F105" s="14" t="n">
        <v>0</v>
      </c>
      <c r="G105" s="14" t="n">
        <v>10744</v>
      </c>
      <c r="H105" s="14" t="n">
        <v>1395</v>
      </c>
      <c r="I105" s="14" t="n">
        <v>9349</v>
      </c>
      <c r="J105" s="15" t="n">
        <v>0</v>
      </c>
      <c r="K105" s="15" t="n">
        <v>0</v>
      </c>
      <c r="L105" s="16">
        <f>F105*(K105-J105)</f>
        <v/>
      </c>
    </row>
    <row r="106" ht="16.5" customHeight="1">
      <c r="D106" s="13" t="inlineStr">
        <is>
          <t>金居(8358)</t>
        </is>
      </c>
      <c r="E106" s="14" t="n">
        <v>0</v>
      </c>
      <c r="F106" s="14" t="n">
        <v>0</v>
      </c>
      <c r="G106" s="14" t="n">
        <v>8283</v>
      </c>
      <c r="H106" s="14" t="n">
        <v>6237</v>
      </c>
      <c r="I106" s="14" t="n">
        <v>2046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聯發科(2454)</t>
        </is>
      </c>
      <c r="E107" s="14" t="n">
        <v>0</v>
      </c>
      <c r="F107" s="14" t="n">
        <v>0</v>
      </c>
      <c r="G107" s="14" t="n">
        <v>7556</v>
      </c>
      <c r="H107" s="14" t="n">
        <v>4218</v>
      </c>
      <c r="I107" s="14" t="n">
        <v>3338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6626</v>
      </c>
      <c r="H109" s="14" t="n">
        <v>10319</v>
      </c>
      <c r="I109" s="14" t="n">
        <v>-3693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0</v>
      </c>
      <c r="F110" s="14" t="n">
        <v>0</v>
      </c>
      <c r="G110" s="14" t="n">
        <v>6278</v>
      </c>
      <c r="H110" s="14" t="n">
        <v>4759</v>
      </c>
      <c r="I110" s="14" t="n">
        <v>1519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0</v>
      </c>
      <c r="F117" s="14" t="n">
        <v>0</v>
      </c>
      <c r="G117" s="14" t="n">
        <v>2182</v>
      </c>
      <c r="H117" s="14" t="n">
        <v>594</v>
      </c>
      <c r="I117" s="14" t="n">
        <v>1588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聯鈞(3450)</t>
        </is>
      </c>
      <c r="E118" s="14" t="n">
        <v>0</v>
      </c>
      <c r="F118" s="14" t="n">
        <v>0</v>
      </c>
      <c r="G118" s="14" t="n">
        <v>1324</v>
      </c>
      <c r="H118" s="14" t="n">
        <v>1009</v>
      </c>
      <c r="I118" s="14" t="n">
        <v>315</v>
      </c>
      <c r="J118" s="15" t="n">
        <v>0</v>
      </c>
      <c r="K118" s="15" t="n">
        <v>0</v>
      </c>
      <c r="L118" s="16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0</v>
      </c>
      <c r="F123" s="14" t="n">
        <v>0</v>
      </c>
      <c r="G123" s="14" t="n">
        <v>8137</v>
      </c>
      <c r="H123" s="14" t="n">
        <v>985</v>
      </c>
      <c r="I123" s="14" t="n">
        <v>7152</v>
      </c>
      <c r="J123" s="15" t="n">
        <v>0</v>
      </c>
      <c r="K123" s="15" t="n">
        <v>0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0</v>
      </c>
      <c r="F126" s="14" t="n">
        <v>0</v>
      </c>
      <c r="G126" s="14" t="n">
        <v>4250</v>
      </c>
      <c r="H126" s="14" t="n">
        <v>767</v>
      </c>
      <c r="I126" s="14" t="n">
        <v>3483</v>
      </c>
      <c r="J126" s="15" t="n">
        <v>0</v>
      </c>
      <c r="K126" s="15" t="n">
        <v>0</v>
      </c>
      <c r="L126" s="16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0</v>
      </c>
      <c r="F128" s="14" t="n">
        <v>0</v>
      </c>
      <c r="G128" s="14" t="n">
        <v>2890</v>
      </c>
      <c r="H128" s="14" t="n">
        <v>4257</v>
      </c>
      <c r="I128" s="14" t="n">
        <v>-1367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0</v>
      </c>
      <c r="F129" s="14" t="n">
        <v>0</v>
      </c>
      <c r="G129" s="14" t="n">
        <v>2710</v>
      </c>
      <c r="H129" s="14" t="n">
        <v>2302</v>
      </c>
      <c r="I129" s="14" t="n">
        <v>408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0</v>
      </c>
      <c r="F130" s="14" t="n">
        <v>0</v>
      </c>
      <c r="G130" s="14" t="n">
        <v>2595</v>
      </c>
      <c r="H130" s="14" t="n">
        <v>577</v>
      </c>
      <c r="I130" s="14" t="n">
        <v>2018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0</v>
      </c>
      <c r="F132" s="14" t="n">
        <v>0</v>
      </c>
      <c r="G132" s="14" t="n">
        <v>2472</v>
      </c>
      <c r="H132" s="14" t="n">
        <v>1234</v>
      </c>
      <c r="I132" s="14" t="n">
        <v>1238</v>
      </c>
      <c r="J132" s="15" t="n">
        <v>0</v>
      </c>
      <c r="K132" s="15" t="n">
        <v>0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0</v>
      </c>
      <c r="F137" s="14" t="n">
        <v>0</v>
      </c>
      <c r="G137" s="14" t="n">
        <v>35424</v>
      </c>
      <c r="H137" s="14" t="n">
        <v>13813</v>
      </c>
      <c r="I137" s="14" t="n">
        <v>21611</v>
      </c>
      <c r="J137" s="15" t="n">
        <v>0</v>
      </c>
      <c r="K137" s="15" t="n">
        <v>0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0</v>
      </c>
      <c r="F139" s="14" t="n">
        <v>0</v>
      </c>
      <c r="G139" s="14" t="n">
        <v>26807</v>
      </c>
      <c r="H139" s="14" t="n">
        <v>68575</v>
      </c>
      <c r="I139" s="14" t="n">
        <v>-41768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0</v>
      </c>
      <c r="F141" s="14" t="n">
        <v>0</v>
      </c>
      <c r="G141" s="14" t="n">
        <v>24789</v>
      </c>
      <c r="H141" s="14" t="n">
        <v>557</v>
      </c>
      <c r="I141" s="14" t="n">
        <v>24232</v>
      </c>
      <c r="J141" s="15" t="n">
        <v>0</v>
      </c>
      <c r="K141" s="15" t="n">
        <v>0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0</v>
      </c>
      <c r="F143" s="14" t="n">
        <v>0</v>
      </c>
      <c r="G143" s="14" t="n">
        <v>21815</v>
      </c>
      <c r="H143" s="14" t="n">
        <v>3351</v>
      </c>
      <c r="I143" s="14" t="n">
        <v>18464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0</v>
      </c>
      <c r="F150" s="14" t="n">
        <v>0</v>
      </c>
      <c r="G150" s="14" t="n">
        <v>46181</v>
      </c>
      <c r="H150" s="14" t="n">
        <v>2512</v>
      </c>
      <c r="I150" s="14" t="n">
        <v>43669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嘉澤(3533)</t>
        </is>
      </c>
      <c r="E151" s="14" t="n">
        <v>0</v>
      </c>
      <c r="F151" s="14" t="n">
        <v>0</v>
      </c>
      <c r="G151" s="14" t="n">
        <v>44810</v>
      </c>
      <c r="H151" s="14" t="n">
        <v>3545</v>
      </c>
      <c r="I151" s="14" t="n">
        <v>41265</v>
      </c>
      <c r="J151" s="15" t="n">
        <v>0</v>
      </c>
      <c r="K151" s="15" t="n">
        <v>0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0</v>
      </c>
      <c r="F159" s="14" t="n">
        <v>0</v>
      </c>
      <c r="G159" s="14" t="n">
        <v>14722</v>
      </c>
      <c r="H159" s="14" t="n">
        <v>7996</v>
      </c>
      <c r="I159" s="14" t="n">
        <v>6726</v>
      </c>
      <c r="J159" s="15" t="n">
        <v>0</v>
      </c>
      <c r="K159" s="15" t="n">
        <v>0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0</v>
      </c>
      <c r="F160" s="14" t="n">
        <v>0</v>
      </c>
      <c r="G160" s="14" t="n">
        <v>12663</v>
      </c>
      <c r="H160" s="14" t="n">
        <v>1756</v>
      </c>
      <c r="I160" s="14" t="n">
        <v>10907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0</v>
      </c>
      <c r="F161" s="14" t="n">
        <v>0</v>
      </c>
      <c r="G161" s="14" t="n">
        <v>12332</v>
      </c>
      <c r="H161" s="14" t="n">
        <v>1394</v>
      </c>
      <c r="I161" s="14" t="n">
        <v>10938</v>
      </c>
      <c r="J161" s="15" t="n">
        <v>0</v>
      </c>
      <c r="K161" s="15" t="n">
        <v>0</v>
      </c>
      <c r="L161" s="16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0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0</v>
      </c>
      <c r="L170" s="16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0</v>
      </c>
      <c r="F172" s="14" t="n">
        <v>0</v>
      </c>
      <c r="G172" s="14" t="n">
        <v>7636</v>
      </c>
      <c r="H172" s="14" t="n">
        <v>6386</v>
      </c>
      <c r="I172" s="14" t="n">
        <v>1250</v>
      </c>
      <c r="J172" s="15" t="n">
        <v>0</v>
      </c>
      <c r="K172" s="15" t="n">
        <v>0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0</v>
      </c>
      <c r="F174" s="14" t="n">
        <v>0</v>
      </c>
      <c r="G174" s="14" t="n">
        <v>5405</v>
      </c>
      <c r="H174" s="14" t="n">
        <v>487</v>
      </c>
      <c r="I174" s="14" t="n">
        <v>4918</v>
      </c>
      <c r="J174" s="15" t="n">
        <v>0</v>
      </c>
      <c r="K174" s="15" t="n">
        <v>0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0</v>
      </c>
      <c r="F184" s="14" t="n">
        <v>0</v>
      </c>
      <c r="G184" s="14" t="n">
        <v>5811</v>
      </c>
      <c r="H184" s="14" t="n">
        <v>4376</v>
      </c>
      <c r="I184" s="14" t="n">
        <v>1435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0</v>
      </c>
      <c r="F190" s="14" t="n">
        <v>0</v>
      </c>
      <c r="G190" s="14" t="n">
        <v>11130</v>
      </c>
      <c r="H190" s="14" t="n">
        <v>2234</v>
      </c>
      <c r="I190" s="14" t="n">
        <v>8896</v>
      </c>
      <c r="J190" s="15" t="n">
        <v>0</v>
      </c>
      <c r="K190" s="15" t="n">
        <v>0</v>
      </c>
      <c r="L190" s="16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0</v>
      </c>
      <c r="F192" s="14" t="n">
        <v>0</v>
      </c>
      <c r="G192" s="14" t="n">
        <v>6393</v>
      </c>
      <c r="H192" s="14" t="n">
        <v>2</v>
      </c>
      <c r="I192" s="14" t="n">
        <v>6391</v>
      </c>
      <c r="J192" s="15" t="n">
        <v>0</v>
      </c>
      <c r="K192" s="15" t="n">
        <v>0</v>
      </c>
      <c r="L192" s="16">
        <f>F192*(K192-J192)</f>
        <v/>
      </c>
    </row>
    <row r="193" ht="16.5" customHeight="1">
      <c r="D193" s="13" t="inlineStr">
        <is>
          <t>世芯-KY(3661)</t>
        </is>
      </c>
      <c r="E193" s="14" t="n">
        <v>0</v>
      </c>
      <c r="F193" s="14" t="n">
        <v>0</v>
      </c>
      <c r="G193" s="14" t="n">
        <v>5840</v>
      </c>
      <c r="H193" s="14" t="n">
        <v>3782</v>
      </c>
      <c r="I193" s="14" t="n">
        <v>2058</v>
      </c>
      <c r="J193" s="15" t="n">
        <v>0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0</v>
      </c>
      <c r="F198" s="14" t="n">
        <v>0</v>
      </c>
      <c r="G198" s="14" t="n">
        <v>2574</v>
      </c>
      <c r="H198" s="14" t="n">
        <v>689</v>
      </c>
      <c r="I198" s="14" t="n">
        <v>1885</v>
      </c>
      <c r="J198" s="15" t="n">
        <v>0</v>
      </c>
      <c r="K198" s="15" t="n">
        <v>0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0</v>
      </c>
      <c r="F204" s="14" t="n">
        <v>0</v>
      </c>
      <c r="G204" s="14" t="n">
        <v>5681</v>
      </c>
      <c r="H204" s="14" t="n">
        <v>1077</v>
      </c>
      <c r="I204" s="14" t="n">
        <v>4604</v>
      </c>
      <c r="J204" s="15" t="n">
        <v>0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0</v>
      </c>
      <c r="F206" s="14" t="n">
        <v>0</v>
      </c>
      <c r="G206" s="14" t="n">
        <v>3471</v>
      </c>
      <c r="H206" s="14" t="n">
        <v>278</v>
      </c>
      <c r="I206" s="14" t="n">
        <v>3193</v>
      </c>
      <c r="J206" s="15" t="n">
        <v>0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0</v>
      </c>
      <c r="F207" s="14" t="n">
        <v>0</v>
      </c>
      <c r="G207" s="14" t="n">
        <v>1980</v>
      </c>
      <c r="H207" s="14" t="n">
        <v>1701</v>
      </c>
      <c r="I207" s="14" t="n">
        <v>279</v>
      </c>
      <c r="J207" s="15" t="n">
        <v>0</v>
      </c>
      <c r="K207" s="15" t="n">
        <v>0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0</v>
      </c>
      <c r="F213" s="14" t="n">
        <v>0</v>
      </c>
      <c r="G213" s="14" t="n">
        <v>15547</v>
      </c>
      <c r="H213" s="14" t="n">
        <v>13487</v>
      </c>
      <c r="I213" s="14" t="n">
        <v>2060</v>
      </c>
      <c r="J213" s="15" t="n">
        <v>0</v>
      </c>
      <c r="K213" s="15" t="n">
        <v>0</v>
      </c>
      <c r="L213" s="16">
        <f>F213*(K213-J213)</f>
        <v/>
      </c>
    </row>
    <row r="214" ht="16.5" customHeight="1">
      <c r="D214" s="13" t="inlineStr">
        <is>
          <t>嘉澤(3533)</t>
        </is>
      </c>
      <c r="E214" s="14" t="n">
        <v>0</v>
      </c>
      <c r="F214" s="14" t="n">
        <v>0</v>
      </c>
      <c r="G214" s="14" t="n">
        <v>14003</v>
      </c>
      <c r="H214" s="14" t="n">
        <v>877</v>
      </c>
      <c r="I214" s="14" t="n">
        <v>13126</v>
      </c>
      <c r="J214" s="15" t="n">
        <v>0</v>
      </c>
      <c r="K214" s="15" t="n">
        <v>0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0</v>
      </c>
      <c r="F215" s="14" t="n">
        <v>0</v>
      </c>
      <c r="G215" s="14" t="n">
        <v>13976</v>
      </c>
      <c r="H215" s="14" t="n">
        <v>74</v>
      </c>
      <c r="I215" s="14" t="n">
        <v>13902</v>
      </c>
      <c r="J215" s="15" t="n">
        <v>0</v>
      </c>
      <c r="K215" s="15" t="n">
        <v>0</v>
      </c>
      <c r="L215" s="16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0</v>
      </c>
      <c r="F219" s="14" t="n">
        <v>0</v>
      </c>
      <c r="G219" s="14" t="n">
        <v>8891</v>
      </c>
      <c r="H219" s="14" t="n">
        <v>7448</v>
      </c>
      <c r="I219" s="14" t="n">
        <v>1443</v>
      </c>
      <c r="J219" s="15" t="n">
        <v>0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奇鋐(3017)</t>
        </is>
      </c>
      <c r="E220" s="14" t="n">
        <v>0</v>
      </c>
      <c r="F220" s="14" t="n">
        <v>0</v>
      </c>
      <c r="G220" s="14" t="n">
        <v>8756</v>
      </c>
      <c r="H220" s="14" t="n">
        <v>535</v>
      </c>
      <c r="I220" s="14" t="n">
        <v>8221</v>
      </c>
      <c r="J220" s="15" t="n">
        <v>0</v>
      </c>
      <c r="K220" s="15" t="n">
        <v>0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0</v>
      </c>
      <c r="F224" s="14" t="n">
        <v>0</v>
      </c>
      <c r="G224" s="14" t="n">
        <v>4850</v>
      </c>
      <c r="H224" s="14" t="n">
        <v>797</v>
      </c>
      <c r="I224" s="14" t="n">
        <v>4053</v>
      </c>
      <c r="J224" s="15" t="n">
        <v>0</v>
      </c>
      <c r="K224" s="15" t="n">
        <v>0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0</v>
      </c>
      <c r="F225" s="14" t="n">
        <v>0</v>
      </c>
      <c r="G225" s="14" t="n">
        <v>4581</v>
      </c>
      <c r="H225" s="14" t="n">
        <v>3592</v>
      </c>
      <c r="I225" s="14" t="n">
        <v>989</v>
      </c>
      <c r="J225" s="15" t="n">
        <v>0</v>
      </c>
      <c r="K225" s="15" t="n">
        <v>0</v>
      </c>
      <c r="L225" s="16">
        <f>F225*(K225-J225)</f>
        <v/>
      </c>
    </row>
    <row r="226" ht="16.5" customHeight="1">
      <c r="D226" s="13" t="inlineStr">
        <is>
          <t>台積電(2330)</t>
        </is>
      </c>
      <c r="E226" s="14" t="n">
        <v>0</v>
      </c>
      <c r="F226" s="14" t="n">
        <v>0</v>
      </c>
      <c r="G226" s="14" t="n">
        <v>4417</v>
      </c>
      <c r="H226" s="14" t="n">
        <v>544</v>
      </c>
      <c r="I226" s="14" t="n">
        <v>3873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0</v>
      </c>
      <c r="F227" s="14" t="n">
        <v>0</v>
      </c>
      <c r="G227" s="14" t="n">
        <v>3749</v>
      </c>
      <c r="H227" s="14" t="n">
        <v>1802</v>
      </c>
      <c r="I227" s="14" t="n">
        <v>1947</v>
      </c>
      <c r="J227" s="15" t="n">
        <v>0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0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0</v>
      </c>
      <c r="F233" s="14" t="n">
        <v>0</v>
      </c>
      <c r="G233" s="14" t="n">
        <v>4132</v>
      </c>
      <c r="H233" s="14" t="n">
        <v>5633</v>
      </c>
      <c r="I233" s="14" t="n">
        <v>-1501</v>
      </c>
      <c r="J233" s="15" t="n">
        <v>0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0</v>
      </c>
      <c r="F236" s="14" t="n">
        <v>0</v>
      </c>
      <c r="G236" s="14" t="n">
        <v>2826</v>
      </c>
      <c r="H236" s="14" t="n">
        <v>46</v>
      </c>
      <c r="I236" s="14" t="n">
        <v>2780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奇鋐(3017)</t>
        </is>
      </c>
      <c r="E237" s="14" t="n">
        <v>0</v>
      </c>
      <c r="F237" s="14" t="n">
        <v>0</v>
      </c>
      <c r="G237" s="14" t="n">
        <v>2322</v>
      </c>
      <c r="H237" s="14" t="n">
        <v>2855</v>
      </c>
      <c r="I237" s="14" t="n">
        <v>-533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0</v>
      </c>
      <c r="F238" s="14" t="n">
        <v>0</v>
      </c>
      <c r="G238" s="14" t="n">
        <v>2315</v>
      </c>
      <c r="H238" s="14" t="n">
        <v>1056</v>
      </c>
      <c r="I238" s="14" t="n">
        <v>1259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健策(3653)</t>
        </is>
      </c>
      <c r="E239" s="14" t="n">
        <v>0</v>
      </c>
      <c r="F239" s="14" t="n">
        <v>0</v>
      </c>
      <c r="G239" s="14" t="n">
        <v>2156</v>
      </c>
      <c r="H239" s="14" t="n">
        <v>2341</v>
      </c>
      <c r="I239" s="14" t="n">
        <v>-185</v>
      </c>
      <c r="J239" s="15" t="n">
        <v>0</v>
      </c>
      <c r="K239" s="15" t="n">
        <v>0</v>
      </c>
      <c r="L239" s="16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0</v>
      </c>
      <c r="F241" s="14" t="n">
        <v>0</v>
      </c>
      <c r="G241" s="14" t="n">
        <v>2093</v>
      </c>
      <c r="H241" s="14" t="n">
        <v>2635</v>
      </c>
      <c r="I241" s="14" t="n">
        <v>-542</v>
      </c>
      <c r="J241" s="15" t="n">
        <v>0</v>
      </c>
      <c r="K241" s="15" t="n">
        <v>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0</v>
      </c>
      <c r="F242" s="14" t="n">
        <v>0</v>
      </c>
      <c r="G242" s="14" t="n">
        <v>2029</v>
      </c>
      <c r="H242" s="14" t="n">
        <v>430</v>
      </c>
      <c r="I242" s="14" t="n">
        <v>1599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奇鈦科(3430)</t>
        </is>
      </c>
      <c r="E244" s="14" t="n">
        <v>5</v>
      </c>
      <c r="F244" s="14" t="n">
        <v>110</v>
      </c>
      <c r="G244" s="14" t="n">
        <v>83</v>
      </c>
      <c r="H244" s="14" t="n">
        <v>1805</v>
      </c>
      <c r="I244" s="14" t="n">
        <v>-1722</v>
      </c>
      <c r="J244" s="15" t="n">
        <v>166.4</v>
      </c>
      <c r="K244" s="15" t="n">
        <v>164.13</v>
      </c>
      <c r="L244" s="17">
        <f>F244*(K244-J244)</f>
        <v/>
      </c>
    </row>
    <row r="245" ht="16.5" customHeight="1">
      <c r="D245" s="13" t="inlineStr">
        <is>
          <t>中美晶(5483)</t>
        </is>
      </c>
      <c r="E245" s="14" t="n">
        <v>0</v>
      </c>
      <c r="F245" s="14" t="n">
        <v>0</v>
      </c>
      <c r="G245" s="14" t="n">
        <v>32</v>
      </c>
      <c r="H245" s="14" t="n">
        <v>311</v>
      </c>
      <c r="I245" s="14" t="n">
        <v>-279</v>
      </c>
      <c r="J245" s="15" t="n">
        <v>0</v>
      </c>
      <c r="K245" s="15" t="n">
        <v>0</v>
      </c>
      <c r="L245" s="16">
        <f>F245*(K245-J245)</f>
        <v/>
      </c>
    </row>
    <row r="246" ht="16.5" customHeight="1">
      <c r="D246" s="13" t="inlineStr">
        <is>
          <t>昇達科(3491)</t>
        </is>
      </c>
      <c r="E246" s="14" t="n">
        <v>0</v>
      </c>
      <c r="F246" s="14" t="n">
        <v>0</v>
      </c>
      <c r="G246" s="14" t="n">
        <v>0</v>
      </c>
      <c r="H246" s="14" t="n">
        <v>567</v>
      </c>
      <c r="I246" s="14" t="n">
        <v>-567</v>
      </c>
      <c r="J246" s="15" t="n">
        <v>0</v>
      </c>
      <c r="K246" s="15" t="n">
        <v>0</v>
      </c>
      <c r="L246" s="16">
        <f>F246*(K246-J246)</f>
        <v/>
      </c>
    </row>
    <row r="247" ht="16.5" customHeight="1">
      <c r="D247" s="13" t="inlineStr">
        <is>
          <t>宜鼎(5289)</t>
        </is>
      </c>
      <c r="E247" s="14" t="n">
        <v>0</v>
      </c>
      <c r="F247" s="14" t="n">
        <v>0</v>
      </c>
      <c r="G247" s="14" t="n">
        <v>0</v>
      </c>
      <c r="H247" s="14" t="n">
        <v>1070</v>
      </c>
      <c r="I247" s="14" t="n">
        <v>-1070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群聯(8299)</t>
        </is>
      </c>
      <c r="E248" s="14" t="n">
        <v>0</v>
      </c>
      <c r="F248" s="14" t="n">
        <v>0</v>
      </c>
      <c r="G248" s="14" t="n">
        <v>0</v>
      </c>
      <c r="H248" s="14" t="n">
        <v>564</v>
      </c>
      <c r="I248" s="14" t="n">
        <v>-564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文曄(3036)</t>
        </is>
      </c>
      <c r="E255" s="14" t="n">
        <v>2622</v>
      </c>
      <c r="F255" s="14" t="n">
        <v>110</v>
      </c>
      <c r="G255" s="14" t="n">
        <v>69330</v>
      </c>
      <c r="H255" s="14" t="n">
        <v>2909</v>
      </c>
      <c r="I255" s="14" t="n">
        <v>66421</v>
      </c>
      <c r="J255" s="15" t="n">
        <v>264.42</v>
      </c>
      <c r="K255" s="15" t="n">
        <v>264.44</v>
      </c>
      <c r="L255" s="16">
        <f>F255*(K255-J255)</f>
        <v/>
      </c>
    </row>
    <row r="256" ht="16.5" customHeight="1">
      <c r="D256" s="13" t="inlineStr">
        <is>
          <t>川湖(2059)</t>
        </is>
      </c>
      <c r="E256" s="14" t="n">
        <v>0</v>
      </c>
      <c r="F256" s="14" t="n">
        <v>0</v>
      </c>
      <c r="G256" s="14" t="n">
        <v>31003</v>
      </c>
      <c r="H256" s="14" t="n">
        <v>1636</v>
      </c>
      <c r="I256" s="14" t="n">
        <v>29367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昇達科(3491)</t>
        </is>
      </c>
      <c r="E257" s="14" t="n">
        <v>0</v>
      </c>
      <c r="F257" s="14" t="n">
        <v>0</v>
      </c>
      <c r="G257" s="14" t="n">
        <v>28492</v>
      </c>
      <c r="H257" s="14" t="n">
        <v>11444</v>
      </c>
      <c r="I257" s="14" t="n">
        <v>17048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中美晶(5483)</t>
        </is>
      </c>
      <c r="E258" s="14" t="n">
        <v>1782</v>
      </c>
      <c r="F258" s="14" t="n">
        <v>336</v>
      </c>
      <c r="G258" s="14" t="n">
        <v>27885</v>
      </c>
      <c r="H258" s="14" t="n">
        <v>5400</v>
      </c>
      <c r="I258" s="14" t="n">
        <v>22485</v>
      </c>
      <c r="J258" s="15" t="n">
        <v>156.48</v>
      </c>
      <c r="K258" s="15" t="n">
        <v>160.73</v>
      </c>
      <c r="L258" s="16">
        <f>F258*(K258-J258)</f>
        <v/>
      </c>
    </row>
    <row r="259" ht="16.5" customHeight="1">
      <c r="D259" s="13" t="inlineStr">
        <is>
          <t>勤誠(8210)</t>
        </is>
      </c>
      <c r="E259" s="14" t="n">
        <v>0</v>
      </c>
      <c r="F259" s="14" t="n">
        <v>0</v>
      </c>
      <c r="G259" s="14" t="n">
        <v>25941</v>
      </c>
      <c r="H259" s="14" t="n">
        <v>17216</v>
      </c>
      <c r="I259" s="14" t="n">
        <v>8725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禾伸堂(3026)</t>
        </is>
      </c>
      <c r="E260" s="14" t="n">
        <v>505</v>
      </c>
      <c r="F260" s="14" t="n">
        <v>121</v>
      </c>
      <c r="G260" s="14" t="n">
        <v>17181</v>
      </c>
      <c r="H260" s="14" t="n">
        <v>4020</v>
      </c>
      <c r="I260" s="14" t="n">
        <v>13161</v>
      </c>
      <c r="J260" s="15" t="n">
        <v>340.21</v>
      </c>
      <c r="K260" s="15" t="n">
        <v>332.25</v>
      </c>
      <c r="L260" s="17">
        <f>F260*(K260-J260)</f>
        <v/>
      </c>
    </row>
    <row r="261" ht="16.5" customHeight="1">
      <c r="D261" s="13" t="inlineStr">
        <is>
          <t>台表科(6278)</t>
        </is>
      </c>
      <c r="E261" s="14" t="n">
        <v>584</v>
      </c>
      <c r="F261" s="14" t="n">
        <v>58</v>
      </c>
      <c r="G261" s="14" t="n">
        <v>12458</v>
      </c>
      <c r="H261" s="14" t="n">
        <v>1215</v>
      </c>
      <c r="I261" s="14" t="n">
        <v>11243</v>
      </c>
      <c r="J261" s="15" t="n">
        <v>213.33</v>
      </c>
      <c r="K261" s="15" t="n">
        <v>209.47</v>
      </c>
      <c r="L261" s="17">
        <f>F261*(K261-J261)</f>
        <v/>
      </c>
    </row>
    <row r="262" ht="16.5" customHeight="1">
      <c r="D262" s="13" t="inlineStr">
        <is>
          <t>瑞昱(2379)</t>
        </is>
      </c>
      <c r="E262" s="14" t="n">
        <v>0</v>
      </c>
      <c r="F262" s="14" t="n">
        <v>0</v>
      </c>
      <c r="G262" s="14" t="n">
        <v>1543</v>
      </c>
      <c r="H262" s="14" t="n">
        <v>11576</v>
      </c>
      <c r="I262" s="14" t="n">
        <v>-10033</v>
      </c>
      <c r="J262" s="15" t="n">
        <v>0</v>
      </c>
      <c r="K262" s="15" t="n">
        <v>0</v>
      </c>
      <c r="L262" s="16">
        <f>F262*(K262-J262)</f>
        <v/>
      </c>
    </row>
    <row r="263" ht="16.5" customHeight="1">
      <c r="D263" s="13" t="inlineStr">
        <is>
          <t>聯詠(3034)</t>
        </is>
      </c>
      <c r="E263" s="14" t="n">
        <v>0</v>
      </c>
      <c r="F263" s="14" t="n">
        <v>0</v>
      </c>
      <c r="G263" s="14" t="n">
        <v>108</v>
      </c>
      <c r="H263" s="14" t="n">
        <v>10836</v>
      </c>
      <c r="I263" s="14" t="n">
        <v>-10728</v>
      </c>
      <c r="J263" s="15" t="n">
        <v>0</v>
      </c>
      <c r="K263" s="15" t="n">
        <v>0</v>
      </c>
      <c r="L263" s="16">
        <f>F263*(K263-J263)</f>
        <v/>
      </c>
    </row>
    <row r="264" ht="16.5" customHeight="1">
      <c r="D264" s="13" t="inlineStr">
        <is>
          <t>大聯大(3702)</t>
        </is>
      </c>
      <c r="E264" s="14" t="n">
        <v>446</v>
      </c>
      <c r="F264" s="14" t="n">
        <v>7</v>
      </c>
      <c r="G264" s="14" t="n">
        <v>0</v>
      </c>
      <c r="H264" s="14" t="n">
        <v>0</v>
      </c>
      <c r="I264" s="14" t="n">
        <v>0</v>
      </c>
      <c r="J264" s="15" t="n">
        <v>0</v>
      </c>
      <c r="K264" s="15" t="n">
        <v>0</v>
      </c>
      <c r="L264" s="16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群聯(8299)</t>
        </is>
      </c>
      <c r="E266" s="14" t="n">
        <v>0</v>
      </c>
      <c r="F266" s="14" t="n">
        <v>0</v>
      </c>
      <c r="G266" s="14" t="n">
        <v>72645</v>
      </c>
      <c r="H266" s="14" t="n">
        <v>5632</v>
      </c>
      <c r="I266" s="14" t="n">
        <v>67013</v>
      </c>
      <c r="J266" s="15" t="n">
        <v>0</v>
      </c>
      <c r="K266" s="15" t="n">
        <v>0</v>
      </c>
      <c r="L266" s="16">
        <f>F266*(K266-J266)</f>
        <v/>
      </c>
    </row>
    <row r="267" ht="16.5" customHeight="1">
      <c r="D267" s="13" t="inlineStr">
        <is>
          <t>中美晶(5483)</t>
        </is>
      </c>
      <c r="E267" s="14" t="n">
        <v>3667</v>
      </c>
      <c r="F267" s="14" t="n">
        <v>279</v>
      </c>
      <c r="G267" s="14" t="n">
        <v>59828</v>
      </c>
      <c r="H267" s="14" t="n">
        <v>4330</v>
      </c>
      <c r="I267" s="14" t="n">
        <v>55498</v>
      </c>
      <c r="J267" s="15" t="n">
        <v>163.15</v>
      </c>
      <c r="K267" s="15" t="n">
        <v>155.19</v>
      </c>
      <c r="L267" s="17">
        <f>F267*(K267-J267)</f>
        <v/>
      </c>
    </row>
    <row r="268" ht="16.5" customHeight="1">
      <c r="D268" s="13" t="inlineStr">
        <is>
          <t>文曄(3036)</t>
        </is>
      </c>
      <c r="E268" s="14" t="n">
        <v>2115</v>
      </c>
      <c r="F268" s="14" t="n">
        <v>709</v>
      </c>
      <c r="G268" s="14" t="n">
        <v>55936</v>
      </c>
      <c r="H268" s="14" t="n">
        <v>18665</v>
      </c>
      <c r="I268" s="14" t="n">
        <v>37271</v>
      </c>
      <c r="J268" s="15" t="n">
        <v>264.47</v>
      </c>
      <c r="K268" s="15" t="n">
        <v>263.26</v>
      </c>
      <c r="L268" s="17">
        <f>F268*(K268-J268)</f>
        <v/>
      </c>
    </row>
    <row r="269" ht="16.5" customHeight="1">
      <c r="D269" s="13" t="inlineStr">
        <is>
          <t>宜鼎(5289)</t>
        </is>
      </c>
      <c r="E269" s="14" t="n">
        <v>0</v>
      </c>
      <c r="F269" s="14" t="n">
        <v>0</v>
      </c>
      <c r="G269" s="14" t="n">
        <v>49285</v>
      </c>
      <c r="H269" s="14" t="n">
        <v>13014</v>
      </c>
      <c r="I269" s="14" t="n">
        <v>36271</v>
      </c>
      <c r="J269" s="15" t="n">
        <v>0</v>
      </c>
      <c r="K269" s="15" t="n">
        <v>0</v>
      </c>
      <c r="L269" s="16">
        <f>F269*(K269-J269)</f>
        <v/>
      </c>
    </row>
    <row r="270" ht="16.5" customHeight="1">
      <c r="D270" s="13" t="inlineStr">
        <is>
          <t>譜瑞-KY(4966)</t>
        </is>
      </c>
      <c r="E270" s="14" t="n">
        <v>0</v>
      </c>
      <c r="F270" s="14" t="n">
        <v>0</v>
      </c>
      <c r="G270" s="14" t="n">
        <v>42887</v>
      </c>
      <c r="H270" s="14" t="n">
        <v>1470</v>
      </c>
      <c r="I270" s="14" t="n">
        <v>41417</v>
      </c>
      <c r="J270" s="15" t="n">
        <v>0</v>
      </c>
      <c r="K270" s="15" t="n">
        <v>0</v>
      </c>
      <c r="L270" s="16">
        <f>F270*(K270-J270)</f>
        <v/>
      </c>
    </row>
    <row r="271" ht="16.5" customHeight="1">
      <c r="D271" s="13" t="inlineStr">
        <is>
          <t>台表科(6278)</t>
        </is>
      </c>
      <c r="E271" s="14" t="n">
        <v>1082</v>
      </c>
      <c r="F271" s="14" t="n">
        <v>2284</v>
      </c>
      <c r="G271" s="14" t="n">
        <v>23254</v>
      </c>
      <c r="H271" s="14" t="n">
        <v>46088</v>
      </c>
      <c r="I271" s="14" t="n">
        <v>-22834</v>
      </c>
      <c r="J271" s="15" t="n">
        <v>214.92</v>
      </c>
      <c r="K271" s="15" t="n">
        <v>201.79</v>
      </c>
      <c r="L271" s="17">
        <f>F271*(K271-J271)</f>
        <v/>
      </c>
    </row>
    <row r="272" ht="16.5" customHeight="1">
      <c r="D272" s="13" t="inlineStr">
        <is>
          <t>勤誠(8210)</t>
        </is>
      </c>
      <c r="E272" s="14" t="n">
        <v>0</v>
      </c>
      <c r="F272" s="14" t="n">
        <v>0</v>
      </c>
      <c r="G272" s="14" t="n">
        <v>20648</v>
      </c>
      <c r="H272" s="14" t="n">
        <v>654</v>
      </c>
      <c r="I272" s="14" t="n">
        <v>19994</v>
      </c>
      <c r="J272" s="15" t="n">
        <v>0</v>
      </c>
      <c r="K272" s="15" t="n">
        <v>0</v>
      </c>
      <c r="L272" s="16">
        <f>F272*(K272-J272)</f>
        <v/>
      </c>
    </row>
    <row r="273" ht="16.5" customHeight="1">
      <c r="D273" s="13" t="inlineStr">
        <is>
          <t>聯詠(3034)</t>
        </is>
      </c>
      <c r="E273" s="14" t="n">
        <v>51</v>
      </c>
      <c r="F273" s="14" t="n">
        <v>839</v>
      </c>
      <c r="G273" s="14" t="n">
        <v>2553</v>
      </c>
      <c r="H273" s="14" t="n">
        <v>41775</v>
      </c>
      <c r="I273" s="14" t="n">
        <v>-39222</v>
      </c>
      <c r="J273" s="15" t="n">
        <v>500.53</v>
      </c>
      <c r="K273" s="15" t="n">
        <v>497.91</v>
      </c>
      <c r="L273" s="17">
        <f>F273*(K273-J273)</f>
        <v/>
      </c>
    </row>
    <row r="274" ht="16.5" customHeight="1">
      <c r="D274" s="13" t="inlineStr">
        <is>
          <t>順德(2351)</t>
        </is>
      </c>
      <c r="E274" s="14" t="n">
        <v>117</v>
      </c>
      <c r="F274" s="14" t="n">
        <v>2013</v>
      </c>
      <c r="G274" s="14" t="n">
        <v>2166</v>
      </c>
      <c r="H274" s="14" t="n">
        <v>37540</v>
      </c>
      <c r="I274" s="14" t="n">
        <v>-35374</v>
      </c>
      <c r="J274" s="15" t="n">
        <v>185.1</v>
      </c>
      <c r="K274" s="15" t="n">
        <v>186.49</v>
      </c>
      <c r="L274" s="16">
        <f>F274*(K274-J274)</f>
        <v/>
      </c>
    </row>
    <row r="275" ht="16.5" customHeight="1">
      <c r="D275" s="13" t="inlineStr">
        <is>
          <t>立隆電(2472)</t>
        </is>
      </c>
      <c r="E275" s="14" t="n">
        <v>51</v>
      </c>
      <c r="F275" s="14" t="n">
        <v>821</v>
      </c>
      <c r="G275" s="14" t="n">
        <v>1134</v>
      </c>
      <c r="H275" s="14" t="n">
        <v>17660</v>
      </c>
      <c r="I275" s="14" t="n">
        <v>-16526</v>
      </c>
      <c r="J275" s="15" t="n">
        <v>222.35</v>
      </c>
      <c r="K275" s="15" t="n">
        <v>215.1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0</v>
      </c>
      <c r="F278" s="14" t="n">
        <v>0</v>
      </c>
      <c r="G278" s="14" t="n">
        <v>13793</v>
      </c>
      <c r="H278" s="14" t="n">
        <v>3088</v>
      </c>
      <c r="I278" s="14" t="n">
        <v>10705</v>
      </c>
      <c r="J278" s="15" t="n">
        <v>0</v>
      </c>
      <c r="K278" s="15" t="n">
        <v>0</v>
      </c>
      <c r="L278" s="16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0</v>
      </c>
      <c r="F290" s="14" t="n">
        <v>0</v>
      </c>
      <c r="G290" s="14" t="n">
        <v>14676</v>
      </c>
      <c r="H290" s="14" t="n">
        <v>24571</v>
      </c>
      <c r="I290" s="14" t="n">
        <v>-9895</v>
      </c>
      <c r="J290" s="15" t="n">
        <v>0</v>
      </c>
      <c r="K290" s="15" t="n">
        <v>0</v>
      </c>
      <c r="L290" s="16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0</v>
      </c>
      <c r="F300" s="14" t="n">
        <v>0</v>
      </c>
      <c r="G300" s="14" t="n">
        <v>3376</v>
      </c>
      <c r="H300" s="14" t="n">
        <v>8810</v>
      </c>
      <c r="I300" s="14" t="n">
        <v>-5434</v>
      </c>
      <c r="J300" s="15" t="n">
        <v>0</v>
      </c>
      <c r="K300" s="15" t="n">
        <v>0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0</v>
      </c>
      <c r="F302" s="14" t="n">
        <v>0</v>
      </c>
      <c r="G302" s="14" t="n">
        <v>3003</v>
      </c>
      <c r="H302" s="14" t="n">
        <v>7607</v>
      </c>
      <c r="I302" s="14" t="n">
        <v>-4604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聯發科(2454)</t>
        </is>
      </c>
      <c r="E303" s="14" t="n">
        <v>0</v>
      </c>
      <c r="F303" s="14" t="n">
        <v>0</v>
      </c>
      <c r="G303" s="14" t="n">
        <v>1935</v>
      </c>
      <c r="H303" s="14" t="n">
        <v>1561</v>
      </c>
      <c r="I303" s="14" t="n">
        <v>374</v>
      </c>
      <c r="J303" s="15" t="n">
        <v>0</v>
      </c>
      <c r="K303" s="15" t="n">
        <v>0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0</v>
      </c>
      <c r="F304" s="14" t="n">
        <v>0</v>
      </c>
      <c r="G304" s="14" t="n">
        <v>1875</v>
      </c>
      <c r="H304" s="14" t="n">
        <v>200</v>
      </c>
      <c r="I304" s="14" t="n">
        <v>1675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0</v>
      </c>
      <c r="F305" s="14" t="n">
        <v>0</v>
      </c>
      <c r="G305" s="14" t="n">
        <v>1798</v>
      </c>
      <c r="H305" s="14" t="n">
        <v>1308</v>
      </c>
      <c r="I305" s="14" t="n">
        <v>490</v>
      </c>
      <c r="J305" s="15" t="n">
        <v>0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緯穎(6669)</t>
        </is>
      </c>
      <c r="E306" s="14" t="n">
        <v>0</v>
      </c>
      <c r="F306" s="14" t="n">
        <v>0</v>
      </c>
      <c r="G306" s="14" t="n">
        <v>1633</v>
      </c>
      <c r="H306" s="14" t="n">
        <v>13</v>
      </c>
      <c r="I306" s="14" t="n">
        <v>1620</v>
      </c>
      <c r="J306" s="15" t="n">
        <v>0</v>
      </c>
      <c r="K306" s="15" t="n">
        <v>0</v>
      </c>
      <c r="L306" s="16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0</v>
      </c>
      <c r="F308" s="14" t="n">
        <v>0</v>
      </c>
      <c r="G308" s="14" t="n">
        <v>1231</v>
      </c>
      <c r="H308" s="14" t="n">
        <v>779</v>
      </c>
      <c r="I308" s="14" t="n">
        <v>452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0</v>
      </c>
      <c r="F310" s="14" t="n">
        <v>0</v>
      </c>
      <c r="G310" s="14" t="n">
        <v>9463</v>
      </c>
      <c r="H310" s="14" t="n">
        <v>621</v>
      </c>
      <c r="I310" s="14" t="n">
        <v>8842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0</v>
      </c>
      <c r="F313" s="14" t="n">
        <v>0</v>
      </c>
      <c r="G313" s="14" t="n">
        <v>3839</v>
      </c>
      <c r="H313" s="14" t="n">
        <v>1607</v>
      </c>
      <c r="I313" s="14" t="n">
        <v>2232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0</v>
      </c>
      <c r="F315" s="14" t="n">
        <v>0</v>
      </c>
      <c r="G315" s="14" t="n">
        <v>2814</v>
      </c>
      <c r="H315" s="14" t="n">
        <v>532</v>
      </c>
      <c r="I315" s="14" t="n">
        <v>2282</v>
      </c>
      <c r="J315" s="15" t="n">
        <v>0</v>
      </c>
      <c r="K315" s="15" t="n">
        <v>0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0</v>
      </c>
      <c r="F318" s="14" t="n">
        <v>0</v>
      </c>
      <c r="G318" s="14" t="n">
        <v>2166</v>
      </c>
      <c r="H318" s="14" t="n">
        <v>1657</v>
      </c>
      <c r="I318" s="14" t="n">
        <v>509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0</v>
      </c>
      <c r="F321" s="14" t="n">
        <v>0</v>
      </c>
      <c r="G321" s="14" t="n">
        <v>16529</v>
      </c>
      <c r="H321" s="14" t="n">
        <v>3113</v>
      </c>
      <c r="I321" s="14" t="n">
        <v>13416</v>
      </c>
      <c r="J321" s="15" t="n">
        <v>0</v>
      </c>
      <c r="K321" s="15" t="n">
        <v>0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0</v>
      </c>
      <c r="F322" s="14" t="n">
        <v>0</v>
      </c>
      <c r="G322" s="14" t="n">
        <v>15862</v>
      </c>
      <c r="H322" s="14" t="n">
        <v>14090</v>
      </c>
      <c r="I322" s="14" t="n">
        <v>1772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0</v>
      </c>
      <c r="F326" s="14" t="n">
        <v>0</v>
      </c>
      <c r="G326" s="14" t="n">
        <v>6063</v>
      </c>
      <c r="H326" s="14" t="n">
        <v>5063</v>
      </c>
      <c r="I326" s="14" t="n">
        <v>1000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緯穎(6669)</t>
        </is>
      </c>
      <c r="E327" s="14" t="n">
        <v>0</v>
      </c>
      <c r="F327" s="14" t="n">
        <v>0</v>
      </c>
      <c r="G327" s="14" t="n">
        <v>5885</v>
      </c>
      <c r="H327" s="14" t="n">
        <v>3315</v>
      </c>
      <c r="I327" s="14" t="n">
        <v>2570</v>
      </c>
      <c r="J327" s="15" t="n">
        <v>0</v>
      </c>
      <c r="K327" s="15" t="n">
        <v>0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0</v>
      </c>
      <c r="F333" s="14" t="n">
        <v>0</v>
      </c>
      <c r="G333" s="14" t="n">
        <v>4938</v>
      </c>
      <c r="H333" s="14" t="n">
        <v>3731</v>
      </c>
      <c r="I333" s="14" t="n">
        <v>1207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0</v>
      </c>
      <c r="F338" s="14" t="n">
        <v>0</v>
      </c>
      <c r="G338" s="14" t="n">
        <v>2516</v>
      </c>
      <c r="H338" s="14" t="n">
        <v>984</v>
      </c>
      <c r="I338" s="14" t="n">
        <v>1532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華通(2313)</t>
        </is>
      </c>
      <c r="E341" s="14" t="n">
        <v>82</v>
      </c>
      <c r="F341" s="14" t="n">
        <v>41</v>
      </c>
      <c r="G341" s="14" t="n">
        <v>2030</v>
      </c>
      <c r="H341" s="14" t="n">
        <v>1030</v>
      </c>
      <c r="I341" s="14" t="n">
        <v>1000</v>
      </c>
      <c r="J341" s="15" t="n">
        <v>247.59</v>
      </c>
      <c r="K341" s="15" t="n">
        <v>251.27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0</v>
      </c>
      <c r="F350" s="14" t="n">
        <v>0</v>
      </c>
      <c r="G350" s="14" t="n">
        <v>1698</v>
      </c>
      <c r="H350" s="14" t="n">
        <v>2192</v>
      </c>
      <c r="I350" s="14" t="n">
        <v>-494</v>
      </c>
      <c r="J350" s="15" t="n">
        <v>0</v>
      </c>
      <c r="K350" s="15" t="n">
        <v>0</v>
      </c>
      <c r="L350" s="16">
        <f>F350*(K350-J350)</f>
        <v/>
      </c>
    </row>
    <row r="351" ht="16.5" customHeight="1">
      <c r="D351" s="13" t="inlineStr">
        <is>
          <t>國巨*(2327)</t>
        </is>
      </c>
      <c r="E351" s="14" t="n">
        <v>0</v>
      </c>
      <c r="F351" s="14" t="n">
        <v>0</v>
      </c>
      <c r="G351" s="14" t="n">
        <v>1544</v>
      </c>
      <c r="H351" s="14" t="n">
        <v>1170</v>
      </c>
      <c r="I351" s="14" t="n">
        <v>374</v>
      </c>
      <c r="J351" s="15" t="n">
        <v>0</v>
      </c>
      <c r="K351" s="15" t="n">
        <v>0</v>
      </c>
      <c r="L351" s="16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5758</v>
      </c>
      <c r="H355" s="14" t="n">
        <v>945</v>
      </c>
      <c r="I355" s="14" t="n">
        <v>4813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0</v>
      </c>
      <c r="F358" s="14" t="n">
        <v>0</v>
      </c>
      <c r="G358" s="14" t="n">
        <v>1749</v>
      </c>
      <c r="H358" s="14" t="n">
        <v>106</v>
      </c>
      <c r="I358" s="14" t="n">
        <v>1643</v>
      </c>
      <c r="J358" s="15" t="n">
        <v>0</v>
      </c>
      <c r="K358" s="15" t="n">
        <v>0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0</v>
      </c>
      <c r="F360" s="14" t="n">
        <v>0</v>
      </c>
      <c r="G360" s="14" t="n">
        <v>1387</v>
      </c>
      <c r="H360" s="14" t="n">
        <v>1083</v>
      </c>
      <c r="I360" s="14" t="n">
        <v>304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0</v>
      </c>
      <c r="F363" s="14" t="n">
        <v>0</v>
      </c>
      <c r="G363" s="14" t="n">
        <v>1227</v>
      </c>
      <c r="H363" s="14" t="n">
        <v>2782</v>
      </c>
      <c r="I363" s="14" t="n">
        <v>-1555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0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宜鼎(5289)</t>
        </is>
      </c>
      <c r="E367" s="14" t="n">
        <v>0</v>
      </c>
      <c r="F367" s="14" t="n">
        <v>0</v>
      </c>
      <c r="G367" s="14" t="n">
        <v>3489</v>
      </c>
      <c r="H367" s="14" t="n">
        <v>4715</v>
      </c>
      <c r="I367" s="14" t="n">
        <v>-1226</v>
      </c>
      <c r="J367" s="15" t="n">
        <v>0</v>
      </c>
      <c r="K367" s="15" t="n">
        <v>0</v>
      </c>
      <c r="L367" s="16">
        <f>F367*(K367-J367)</f>
        <v/>
      </c>
    </row>
    <row r="368" ht="16.5" customHeight="1">
      <c r="D368" s="13" t="inlineStr">
        <is>
          <t>家登(3680)</t>
        </is>
      </c>
      <c r="E368" s="14" t="n">
        <v>0</v>
      </c>
      <c r="F368" s="14" t="n">
        <v>0</v>
      </c>
      <c r="G368" s="14" t="n">
        <v>1154</v>
      </c>
      <c r="H368" s="14" t="n">
        <v>559</v>
      </c>
      <c r="I368" s="14" t="n">
        <v>595</v>
      </c>
      <c r="J368" s="15" t="n">
        <v>0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普萊德(6263)</t>
        </is>
      </c>
      <c r="E369" s="14" t="n">
        <v>60</v>
      </c>
      <c r="F369" s="14" t="n">
        <v>3</v>
      </c>
      <c r="G369" s="14" t="n">
        <v>1008</v>
      </c>
      <c r="H369" s="14" t="n">
        <v>50</v>
      </c>
      <c r="I369" s="14" t="n">
        <v>958</v>
      </c>
      <c r="J369" s="15" t="n">
        <v>168</v>
      </c>
      <c r="K369" s="15" t="n">
        <v>168</v>
      </c>
      <c r="L369" s="16">
        <f>F369*(K369-J369)</f>
        <v/>
      </c>
    </row>
    <row r="370" ht="16.5" customHeight="1">
      <c r="D370" s="13" t="inlineStr">
        <is>
          <t>聯詠(3034)</t>
        </is>
      </c>
      <c r="E370" s="14" t="n">
        <v>0</v>
      </c>
      <c r="F370" s="14" t="n">
        <v>0</v>
      </c>
      <c r="G370" s="14" t="n">
        <v>939</v>
      </c>
      <c r="H370" s="14" t="n">
        <v>60</v>
      </c>
      <c r="I370" s="14" t="n">
        <v>879</v>
      </c>
      <c r="J370" s="15" t="n">
        <v>0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信昌電(6173)</t>
        </is>
      </c>
      <c r="E371" s="14" t="n">
        <v>20</v>
      </c>
      <c r="F371" s="14" t="n">
        <v>67</v>
      </c>
      <c r="G371" s="14" t="n">
        <v>248</v>
      </c>
      <c r="H371" s="14" t="n">
        <v>847</v>
      </c>
      <c r="I371" s="14" t="n">
        <v>-599</v>
      </c>
      <c r="J371" s="15" t="n">
        <v>124.05</v>
      </c>
      <c r="K371" s="15" t="n">
        <v>126.39</v>
      </c>
      <c r="L371" s="16">
        <f>F371*(K371-J371)</f>
        <v/>
      </c>
    </row>
    <row r="372" ht="16.5" customHeight="1">
      <c r="D372" s="13" t="inlineStr">
        <is>
          <t>文曄(3036)</t>
        </is>
      </c>
      <c r="E372" s="14" t="n">
        <v>2</v>
      </c>
      <c r="F372" s="14" t="n">
        <v>176</v>
      </c>
      <c r="G372" s="14" t="n">
        <v>48</v>
      </c>
      <c r="H372" s="14" t="n">
        <v>4586</v>
      </c>
      <c r="I372" s="14" t="n">
        <v>-4538</v>
      </c>
      <c r="J372" s="15" t="n">
        <v>239.5</v>
      </c>
      <c r="K372" s="15" t="n">
        <v>260.56</v>
      </c>
      <c r="L372" s="16">
        <f>F372*(K372-J372)</f>
        <v/>
      </c>
    </row>
    <row r="373" ht="16.5" customHeight="1">
      <c r="D373" s="13" t="inlineStr">
        <is>
          <t>現觀科(6906)</t>
        </is>
      </c>
      <c r="E373" s="14" t="n">
        <v>0</v>
      </c>
      <c r="F373" s="14" t="n">
        <v>74</v>
      </c>
      <c r="G373" s="14" t="n">
        <v>0</v>
      </c>
      <c r="H373" s="14" t="n">
        <v>512</v>
      </c>
      <c r="I373" s="14" t="n">
        <v>-512</v>
      </c>
      <c r="J373" s="15" t="n">
        <v>0</v>
      </c>
      <c r="K373" s="15" t="n">
        <v>69.23</v>
      </c>
      <c r="L373" s="16">
        <f>F373*(K373-J373)</f>
        <v/>
      </c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昇達科(3491)</t>
        </is>
      </c>
      <c r="E376" s="14" t="n">
        <v>0</v>
      </c>
      <c r="F376" s="14" t="n">
        <v>0</v>
      </c>
      <c r="G376" s="14" t="n">
        <v>5416</v>
      </c>
      <c r="H376" s="14" t="n">
        <v>2224</v>
      </c>
      <c r="I376" s="14" t="n">
        <v>3192</v>
      </c>
      <c r="J376" s="15" t="n">
        <v>0</v>
      </c>
      <c r="K376" s="15" t="n">
        <v>0</v>
      </c>
      <c r="L376" s="16">
        <f>F376*(K376-J376)</f>
        <v/>
      </c>
    </row>
    <row r="377" ht="16.5" customHeight="1">
      <c r="D377" s="13" t="inlineStr">
        <is>
          <t>文曄(3036)</t>
        </is>
      </c>
      <c r="E377" s="14" t="n">
        <v>201</v>
      </c>
      <c r="F377" s="14" t="n">
        <v>110</v>
      </c>
      <c r="G377" s="14" t="n">
        <v>5316</v>
      </c>
      <c r="H377" s="14" t="n">
        <v>2906</v>
      </c>
      <c r="I377" s="14" t="n">
        <v>2410</v>
      </c>
      <c r="J377" s="15" t="n">
        <v>264.5</v>
      </c>
      <c r="K377" s="15" t="n">
        <v>264.22</v>
      </c>
      <c r="L377" s="17">
        <f>F377*(K377-J377)</f>
        <v/>
      </c>
    </row>
    <row r="378" ht="16.5" customHeight="1">
      <c r="D378" s="13" t="inlineStr">
        <is>
          <t>順德(2351)</t>
        </is>
      </c>
      <c r="E378" s="14" t="n">
        <v>150</v>
      </c>
      <c r="F378" s="14" t="n">
        <v>58</v>
      </c>
      <c r="G378" s="14" t="n">
        <v>2775</v>
      </c>
      <c r="H378" s="14" t="n">
        <v>1106</v>
      </c>
      <c r="I378" s="14" t="n">
        <v>1669</v>
      </c>
      <c r="J378" s="15" t="n">
        <v>185</v>
      </c>
      <c r="K378" s="15" t="n">
        <v>190.71</v>
      </c>
      <c r="L378" s="16">
        <f>F378*(K378-J378)</f>
        <v/>
      </c>
    </row>
    <row r="379" ht="16.5" customHeight="1">
      <c r="D379" s="13" t="inlineStr">
        <is>
          <t>群聯(8299)</t>
        </is>
      </c>
      <c r="E379" s="14" t="n">
        <v>0</v>
      </c>
      <c r="F379" s="14" t="n">
        <v>0</v>
      </c>
      <c r="G379" s="14" t="n">
        <v>1629</v>
      </c>
      <c r="H379" s="14" t="n">
        <v>277</v>
      </c>
      <c r="I379" s="14" t="n">
        <v>1352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統新(6426)</t>
        </is>
      </c>
      <c r="E380" s="14" t="n">
        <v>0</v>
      </c>
      <c r="F380" s="14" t="n">
        <v>0</v>
      </c>
      <c r="G380" s="14" t="n">
        <v>803</v>
      </c>
      <c r="H380" s="14" t="n">
        <v>78</v>
      </c>
      <c r="I380" s="14" t="n">
        <v>725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勤誠(8210)</t>
        </is>
      </c>
      <c r="E381" s="14" t="n">
        <v>0</v>
      </c>
      <c r="F381" s="14" t="n">
        <v>0</v>
      </c>
      <c r="G381" s="14" t="n">
        <v>774</v>
      </c>
      <c r="H381" s="14" t="n">
        <v>178</v>
      </c>
      <c r="I381" s="14" t="n">
        <v>596</v>
      </c>
      <c r="J381" s="15" t="n">
        <v>0</v>
      </c>
      <c r="K381" s="15" t="n">
        <v>0</v>
      </c>
      <c r="L381" s="16">
        <f>F381*(K381-J381)</f>
        <v/>
      </c>
    </row>
    <row r="382" ht="16.5" customHeight="1">
      <c r="D382" s="13" t="inlineStr">
        <is>
          <t>禾伸堂(3026)</t>
        </is>
      </c>
      <c r="E382" s="14" t="n">
        <v>0</v>
      </c>
      <c r="F382" s="14" t="n">
        <v>0</v>
      </c>
      <c r="G382" s="14" t="n">
        <v>238</v>
      </c>
      <c r="H382" s="14" t="n">
        <v>590</v>
      </c>
      <c r="I382" s="14" t="n">
        <v>-352</v>
      </c>
      <c r="J382" s="15" t="n">
        <v>0</v>
      </c>
      <c r="K382" s="15" t="n">
        <v>0</v>
      </c>
      <c r="L382" s="16">
        <f>F382*(K382-J382)</f>
        <v/>
      </c>
    </row>
    <row r="383" ht="16.5" customHeight="1">
      <c r="D383" s="13" t="inlineStr">
        <is>
          <t>德微(3675)</t>
        </is>
      </c>
      <c r="E383" s="14" t="n">
        <v>0</v>
      </c>
      <c r="F383" s="14" t="n">
        <v>0</v>
      </c>
      <c r="G383" s="14" t="n">
        <v>121</v>
      </c>
      <c r="H383" s="14" t="n">
        <v>553</v>
      </c>
      <c r="I383" s="14" t="n">
        <v>-432</v>
      </c>
      <c r="J383" s="15" t="n">
        <v>0</v>
      </c>
      <c r="K383" s="15" t="n">
        <v>0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0</v>
      </c>
      <c r="H384" s="14" t="n">
        <v>0</v>
      </c>
      <c r="I384" s="14" t="n">
        <v>0</v>
      </c>
      <c r="J384" s="15" t="n">
        <v>0</v>
      </c>
      <c r="K384" s="15" t="n">
        <v>0</v>
      </c>
      <c r="L384" s="16">
        <f>F384*(K384-J384)</f>
        <v/>
      </c>
    </row>
    <row r="385" ht="16.5" customHeight="1">
      <c r="D385" s="13" t="inlineStr">
        <is>
          <t>閎康(3587)</t>
        </is>
      </c>
      <c r="E385" s="14" t="n">
        <v>0</v>
      </c>
      <c r="F385" s="14" t="n">
        <v>0</v>
      </c>
      <c r="G385" s="14" t="n">
        <v>0</v>
      </c>
      <c r="H385" s="14" t="n">
        <v>420</v>
      </c>
      <c r="I385" s="14" t="n">
        <v>-420</v>
      </c>
      <c r="J385" s="15" t="n">
        <v>0</v>
      </c>
      <c r="K385" s="15" t="n">
        <v>0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昇達科(3491)</t>
        </is>
      </c>
      <c r="E387" s="14" t="n">
        <v>0</v>
      </c>
      <c r="F387" s="14" t="n">
        <v>0</v>
      </c>
      <c r="G387" s="14" t="n">
        <v>6063</v>
      </c>
      <c r="H387" s="14" t="n">
        <v>5063</v>
      </c>
      <c r="I387" s="14" t="n">
        <v>1000</v>
      </c>
      <c r="J387" s="15" t="n">
        <v>0</v>
      </c>
      <c r="K387" s="15" t="n">
        <v>0</v>
      </c>
      <c r="L387" s="16">
        <f>F387*(K387-J387)</f>
        <v/>
      </c>
    </row>
    <row r="388" ht="16.5" customHeight="1">
      <c r="D388" s="13" t="inlineStr">
        <is>
          <t>台半(5425)</t>
        </is>
      </c>
      <c r="E388" s="14" t="n">
        <v>486</v>
      </c>
      <c r="F388" s="14" t="n">
        <v>317</v>
      </c>
      <c r="G388" s="14" t="n">
        <v>3851</v>
      </c>
      <c r="H388" s="14" t="n">
        <v>2483</v>
      </c>
      <c r="I388" s="14" t="n">
        <v>1368</v>
      </c>
      <c r="J388" s="15" t="n">
        <v>79.25</v>
      </c>
      <c r="K388" s="15" t="n">
        <v>78.33</v>
      </c>
      <c r="L388" s="17">
        <f>F388*(K388-J388)</f>
        <v/>
      </c>
    </row>
    <row r="389" ht="16.5" customHeight="1">
      <c r="D389" s="13" t="inlineStr">
        <is>
          <t>聯詠(3034)</t>
        </is>
      </c>
      <c r="E389" s="14" t="n">
        <v>0</v>
      </c>
      <c r="F389" s="14" t="n">
        <v>0</v>
      </c>
      <c r="G389" s="14" t="n">
        <v>2254</v>
      </c>
      <c r="H389" s="14" t="n">
        <v>1275</v>
      </c>
      <c r="I389" s="14" t="n">
        <v>979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德微(3675)</t>
        </is>
      </c>
      <c r="E390" s="14" t="n">
        <v>45</v>
      </c>
      <c r="F390" s="14" t="n">
        <v>1</v>
      </c>
      <c r="G390" s="14" t="n">
        <v>1118</v>
      </c>
      <c r="H390" s="14" t="n">
        <v>25</v>
      </c>
      <c r="I390" s="14" t="n">
        <v>1093</v>
      </c>
      <c r="J390" s="15" t="n">
        <v>248.33</v>
      </c>
      <c r="K390" s="15" t="n">
        <v>249</v>
      </c>
      <c r="L390" s="16">
        <f>F390*(K390-J390)</f>
        <v/>
      </c>
    </row>
    <row r="391" ht="16.5" customHeight="1">
      <c r="D391" s="13" t="inlineStr">
        <is>
          <t>台表科(6278)</t>
        </is>
      </c>
      <c r="E391" s="14" t="n">
        <v>0</v>
      </c>
      <c r="F391" s="14" t="n">
        <v>0</v>
      </c>
      <c r="G391" s="14" t="n">
        <v>582</v>
      </c>
      <c r="H391" s="14" t="n">
        <v>1577</v>
      </c>
      <c r="I391" s="14" t="n">
        <v>-995</v>
      </c>
      <c r="J391" s="15" t="n">
        <v>0</v>
      </c>
      <c r="K391" s="15" t="n">
        <v>0</v>
      </c>
      <c r="L391" s="16">
        <f>F391*(K391-J391)</f>
        <v/>
      </c>
    </row>
    <row r="392" ht="16.5" customHeight="1">
      <c r="D392" s="13" t="inlineStr">
        <is>
          <t>盟立(2464)</t>
        </is>
      </c>
      <c r="E392" s="14" t="n">
        <v>29</v>
      </c>
      <c r="F392" s="14" t="n">
        <v>113</v>
      </c>
      <c r="G392" s="14" t="n">
        <v>349</v>
      </c>
      <c r="H392" s="14" t="n">
        <v>1340</v>
      </c>
      <c r="I392" s="14" t="n">
        <v>-991</v>
      </c>
      <c r="J392" s="15" t="n">
        <v>120.34</v>
      </c>
      <c r="K392" s="15" t="n">
        <v>118.58</v>
      </c>
      <c r="L392" s="17">
        <f>F392*(K392-J392)</f>
        <v/>
      </c>
    </row>
    <row r="393" ht="16.5" customHeight="1">
      <c r="D393" s="13" t="inlineStr">
        <is>
          <t>信昌電(6173)</t>
        </is>
      </c>
      <c r="E393" s="14" t="n">
        <v>26</v>
      </c>
      <c r="F393" s="14" t="n">
        <v>105</v>
      </c>
      <c r="G393" s="14" t="n">
        <v>336</v>
      </c>
      <c r="H393" s="14" t="n">
        <v>1298</v>
      </c>
      <c r="I393" s="14" t="n">
        <v>-962</v>
      </c>
      <c r="J393" s="15" t="n">
        <v>129.23</v>
      </c>
      <c r="K393" s="15" t="n">
        <v>123.6</v>
      </c>
      <c r="L393" s="17">
        <f>F393*(K393-J393)</f>
        <v/>
      </c>
    </row>
    <row r="394" ht="16.5" customHeight="1">
      <c r="D394" s="13" t="inlineStr">
        <is>
          <t>譜瑞-KY(4966)</t>
        </is>
      </c>
      <c r="E394" s="14" t="n">
        <v>0</v>
      </c>
      <c r="F394" s="14" t="n">
        <v>0</v>
      </c>
      <c r="G394" s="14" t="n">
        <v>324</v>
      </c>
      <c r="H394" s="14" t="n">
        <v>870</v>
      </c>
      <c r="I394" s="14" t="n">
        <v>-546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inlineStr">
        <is>
          <t>榮剛(5009)</t>
        </is>
      </c>
      <c r="E395" s="14" t="n">
        <v>14</v>
      </c>
      <c r="F395" s="14" t="n">
        <v>393</v>
      </c>
      <c r="G395" s="14" t="n">
        <v>56</v>
      </c>
      <c r="H395" s="14" t="n">
        <v>1575</v>
      </c>
      <c r="I395" s="14" t="n">
        <v>-1519</v>
      </c>
      <c r="J395" s="15" t="n">
        <v>39.71</v>
      </c>
      <c r="K395" s="15" t="n">
        <v>40.09</v>
      </c>
      <c r="L395" s="16">
        <f>F395*(K395-J395)</f>
        <v/>
      </c>
    </row>
    <row r="396" ht="16.5" customHeight="1">
      <c r="D396" s="13" t="inlineStr">
        <is>
          <t>文曄(3036)</t>
        </is>
      </c>
      <c r="E396" s="14" t="n">
        <v>0</v>
      </c>
      <c r="F396" s="14" t="n">
        <v>0</v>
      </c>
      <c r="G396" s="14" t="n">
        <v>52</v>
      </c>
      <c r="H396" s="14" t="n">
        <v>866</v>
      </c>
      <c r="I396" s="14" t="n">
        <v>-814</v>
      </c>
      <c r="J396" s="15" t="n">
        <v>0</v>
      </c>
      <c r="K396" s="15" t="n">
        <v>0</v>
      </c>
      <c r="L396" s="16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266</v>
      </c>
      <c r="F398" s="14" t="n">
        <v>47</v>
      </c>
      <c r="G398" s="14" t="n">
        <v>3136</v>
      </c>
      <c r="H398" s="14" t="n">
        <v>567</v>
      </c>
      <c r="I398" s="14" t="n">
        <v>2569</v>
      </c>
      <c r="J398" s="15" t="n">
        <v>117.88</v>
      </c>
      <c r="K398" s="15" t="n">
        <v>120.62</v>
      </c>
      <c r="L398" s="16">
        <f>F398*(K398-J398)</f>
        <v/>
      </c>
    </row>
    <row r="399" ht="16.5" customHeight="1">
      <c r="D399" s="13" t="inlineStr">
        <is>
          <t>禾伸堂(3026)</t>
        </is>
      </c>
      <c r="E399" s="14" t="n">
        <v>0</v>
      </c>
      <c r="F399" s="14" t="n">
        <v>0</v>
      </c>
      <c r="G399" s="14" t="n">
        <v>572</v>
      </c>
      <c r="H399" s="14" t="n">
        <v>171</v>
      </c>
      <c r="I399" s="14" t="n">
        <v>401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中美晶(5483)</t>
        </is>
      </c>
      <c r="E400" s="14" t="n">
        <v>0</v>
      </c>
      <c r="F400" s="14" t="n">
        <v>0</v>
      </c>
      <c r="G400" s="14" t="n">
        <v>33</v>
      </c>
      <c r="H400" s="14" t="n">
        <v>358</v>
      </c>
      <c r="I400" s="14" t="n">
        <v>-325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譜瑞-KY(4966)</t>
        </is>
      </c>
      <c r="E401" s="14" t="n">
        <v>0</v>
      </c>
      <c r="F401" s="14" t="n">
        <v>0</v>
      </c>
      <c r="G401" s="14" t="n">
        <v>6</v>
      </c>
      <c r="H401" s="14" t="n">
        <v>511</v>
      </c>
      <c r="I401" s="14" t="n">
        <v>-505</v>
      </c>
      <c r="J401" s="15" t="n">
        <v>0</v>
      </c>
      <c r="K401" s="15" t="n">
        <v>0</v>
      </c>
      <c r="L401" s="16">
        <f>F401*(K401-J401)</f>
        <v/>
      </c>
    </row>
    <row r="402" ht="16.5" customHeight="1">
      <c r="D402" s="13" t="inlineStr">
        <is>
          <t>群聯(8299)</t>
        </is>
      </c>
      <c r="E402" s="14" t="n">
        <v>0</v>
      </c>
      <c r="F402" s="14" t="n">
        <v>0</v>
      </c>
      <c r="G402" s="14" t="n">
        <v>3</v>
      </c>
      <c r="H402" s="14" t="n">
        <v>610</v>
      </c>
      <c r="I402" s="14" t="n">
        <v>-607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閎康(3587)</t>
        </is>
      </c>
      <c r="E410" s="14" t="n">
        <v>343</v>
      </c>
      <c r="F410" s="14" t="n">
        <v>204</v>
      </c>
      <c r="G410" s="14" t="n">
        <v>12022</v>
      </c>
      <c r="H410" s="14" t="n">
        <v>7150</v>
      </c>
      <c r="I410" s="14" t="n">
        <v>4872</v>
      </c>
      <c r="J410" s="15" t="n">
        <v>350.5</v>
      </c>
      <c r="K410" s="15" t="n">
        <v>350.48</v>
      </c>
      <c r="L410" s="17">
        <f>F410*(K410-J410)</f>
        <v/>
      </c>
    </row>
    <row r="411" ht="16.5" customHeight="1">
      <c r="D411" s="13" t="inlineStr">
        <is>
          <t>陽程(3498)</t>
        </is>
      </c>
      <c r="E411" s="14" t="n">
        <v>887</v>
      </c>
      <c r="F411" s="14" t="n">
        <v>0</v>
      </c>
      <c r="G411" s="14" t="n">
        <v>9092</v>
      </c>
      <c r="H411" s="14" t="n">
        <v>0</v>
      </c>
      <c r="I411" s="14" t="n">
        <v>9092</v>
      </c>
      <c r="J411" s="15" t="n">
        <v>102.5</v>
      </c>
      <c r="K411" s="15" t="n">
        <v>0</v>
      </c>
      <c r="L411" s="16">
        <f>F411*(K411-J411)</f>
        <v/>
      </c>
    </row>
    <row r="412" ht="16.5" customHeight="1">
      <c r="D412" s="13" t="inlineStr">
        <is>
          <t>正淩(8147)</t>
        </is>
      </c>
      <c r="E412" s="14" t="n">
        <v>493</v>
      </c>
      <c r="F412" s="14" t="n">
        <v>2</v>
      </c>
      <c r="G412" s="14" t="n">
        <v>8356</v>
      </c>
      <c r="H412" s="14" t="n">
        <v>32</v>
      </c>
      <c r="I412" s="14" t="n">
        <v>8324</v>
      </c>
      <c r="J412" s="15" t="n">
        <v>169.5</v>
      </c>
      <c r="K412" s="15" t="n">
        <v>160</v>
      </c>
      <c r="L412" s="17">
        <f>F412*(K412-J412)</f>
        <v/>
      </c>
    </row>
    <row r="413" ht="16.5" customHeight="1">
      <c r="D413" s="13" t="inlineStr">
        <is>
          <t>大聯大(3702)</t>
        </is>
      </c>
      <c r="E413" s="14" t="n">
        <v>730</v>
      </c>
      <c r="F413" s="14" t="n">
        <v>3385</v>
      </c>
      <c r="G413" s="14" t="n">
        <v>8345</v>
      </c>
      <c r="H413" s="14" t="n">
        <v>38484</v>
      </c>
      <c r="I413" s="14" t="n">
        <v>-30139</v>
      </c>
      <c r="J413" s="15" t="n">
        <v>114.31</v>
      </c>
      <c r="K413" s="15" t="n">
        <v>113.69</v>
      </c>
      <c r="L413" s="17">
        <f>F413*(K413-J413)</f>
        <v/>
      </c>
    </row>
    <row r="414" ht="16.5" customHeight="1">
      <c r="D414" s="13" t="inlineStr">
        <is>
          <t>群聯(8299)</t>
        </is>
      </c>
      <c r="E414" s="14" t="n">
        <v>0</v>
      </c>
      <c r="F414" s="14" t="n">
        <v>0</v>
      </c>
      <c r="G414" s="14" t="n">
        <v>6994</v>
      </c>
      <c r="H414" s="14" t="n">
        <v>642</v>
      </c>
      <c r="I414" s="14" t="n">
        <v>6352</v>
      </c>
      <c r="J414" s="15" t="n">
        <v>0</v>
      </c>
      <c r="K414" s="15" t="n">
        <v>0</v>
      </c>
      <c r="L414" s="16">
        <f>F414*(K414-J414)</f>
        <v/>
      </c>
    </row>
    <row r="415" ht="16.5" customHeight="1">
      <c r="D415" s="13" t="inlineStr">
        <is>
          <t>元太(8069)</t>
        </is>
      </c>
      <c r="E415" s="14" t="n">
        <v>201</v>
      </c>
      <c r="F415" s="14" t="n">
        <v>9</v>
      </c>
      <c r="G415" s="14" t="n">
        <v>3578</v>
      </c>
      <c r="H415" s="14" t="n">
        <v>160</v>
      </c>
      <c r="I415" s="14" t="n">
        <v>3418</v>
      </c>
      <c r="J415" s="15" t="n">
        <v>178</v>
      </c>
      <c r="K415" s="15" t="n">
        <v>178.33</v>
      </c>
      <c r="L415" s="16">
        <f>F415*(K415-J415)</f>
        <v/>
      </c>
    </row>
    <row r="416" ht="16.5" customHeight="1">
      <c r="D416" s="13" t="inlineStr">
        <is>
          <t>瑞昱(2379)</t>
        </is>
      </c>
      <c r="E416" s="14" t="n">
        <v>56</v>
      </c>
      <c r="F416" s="14" t="n">
        <v>464</v>
      </c>
      <c r="G416" s="14" t="n">
        <v>3357</v>
      </c>
      <c r="H416" s="14" t="n">
        <v>27476</v>
      </c>
      <c r="I416" s="14" t="n">
        <v>-24119</v>
      </c>
      <c r="J416" s="15" t="n">
        <v>599.45</v>
      </c>
      <c r="K416" s="15" t="n">
        <v>592.16</v>
      </c>
      <c r="L416" s="17">
        <f>F416*(K416-J416)</f>
        <v/>
      </c>
    </row>
    <row r="417" ht="16.5" customHeight="1">
      <c r="D417" s="13" t="inlineStr">
        <is>
          <t>宜鼎(5289)</t>
        </is>
      </c>
      <c r="E417" s="14" t="n">
        <v>0</v>
      </c>
      <c r="F417" s="14" t="n">
        <v>0</v>
      </c>
      <c r="G417" s="14" t="n">
        <v>2986</v>
      </c>
      <c r="H417" s="14" t="n">
        <v>1624</v>
      </c>
      <c r="I417" s="14" t="n">
        <v>1362</v>
      </c>
      <c r="J417" s="15" t="n">
        <v>0</v>
      </c>
      <c r="K417" s="15" t="n">
        <v>0</v>
      </c>
      <c r="L417" s="16">
        <f>F417*(K417-J417)</f>
        <v/>
      </c>
    </row>
    <row r="418" ht="16.5" customHeight="1">
      <c r="D418" s="13" t="inlineStr">
        <is>
          <t>M31(6643)</t>
        </is>
      </c>
      <c r="E418" s="14" t="n">
        <v>0</v>
      </c>
      <c r="F418" s="14" t="n">
        <v>0</v>
      </c>
      <c r="G418" s="14" t="n">
        <v>2732</v>
      </c>
      <c r="H418" s="14" t="n">
        <v>0</v>
      </c>
      <c r="I418" s="14" t="n">
        <v>2732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國精化(4722)</t>
        </is>
      </c>
      <c r="E420" s="14" t="n">
        <v>138</v>
      </c>
      <c r="F420" s="14" t="n">
        <v>55</v>
      </c>
      <c r="G420" s="14" t="n">
        <v>3308</v>
      </c>
      <c r="H420" s="14" t="n">
        <v>1314</v>
      </c>
      <c r="I420" s="14" t="n">
        <v>1994</v>
      </c>
      <c r="J420" s="15" t="n">
        <v>239.73</v>
      </c>
      <c r="K420" s="15" t="n">
        <v>238.98</v>
      </c>
      <c r="L420" s="17">
        <f>F420*(K420-J420)</f>
        <v/>
      </c>
    </row>
    <row r="421" ht="16.5" customHeight="1">
      <c r="D421" s="13" t="inlineStr">
        <is>
          <t>立隆電(2472)</t>
        </is>
      </c>
      <c r="E421" s="14" t="n">
        <v>96</v>
      </c>
      <c r="F421" s="14" t="n">
        <v>23</v>
      </c>
      <c r="G421" s="14" t="n">
        <v>2149</v>
      </c>
      <c r="H421" s="14" t="n">
        <v>513</v>
      </c>
      <c r="I421" s="14" t="n">
        <v>1636</v>
      </c>
      <c r="J421" s="15" t="n">
        <v>223.83</v>
      </c>
      <c r="K421" s="15" t="n">
        <v>223.17</v>
      </c>
      <c r="L421" s="17">
        <f>F421*(K421-J421)</f>
        <v/>
      </c>
    </row>
    <row r="422" ht="16.5" customHeight="1">
      <c r="D422" s="13" t="inlineStr">
        <is>
          <t>藥華藥(6446)</t>
        </is>
      </c>
      <c r="E422" s="14" t="n">
        <v>0</v>
      </c>
      <c r="F422" s="14" t="n">
        <v>0</v>
      </c>
      <c r="G422" s="14" t="n">
        <v>1634</v>
      </c>
      <c r="H422" s="14" t="n">
        <v>2546</v>
      </c>
      <c r="I422" s="14" t="n">
        <v>-912</v>
      </c>
      <c r="J422" s="15" t="n">
        <v>0</v>
      </c>
      <c r="K422" s="15" t="n">
        <v>0</v>
      </c>
      <c r="L422" s="16">
        <f>F422*(K422-J422)</f>
        <v/>
      </c>
    </row>
    <row r="423" ht="16.5" customHeight="1">
      <c r="D423" s="13" t="inlineStr">
        <is>
          <t>勤誠(8210)</t>
        </is>
      </c>
      <c r="E423" s="14" t="n">
        <v>0</v>
      </c>
      <c r="F423" s="14" t="n">
        <v>0</v>
      </c>
      <c r="G423" s="14" t="n">
        <v>1631</v>
      </c>
      <c r="H423" s="14" t="n">
        <v>3438</v>
      </c>
      <c r="I423" s="14" t="n">
        <v>-1807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中美晶(5483)</t>
        </is>
      </c>
      <c r="E424" s="14" t="n">
        <v>97</v>
      </c>
      <c r="F424" s="14" t="n">
        <v>24</v>
      </c>
      <c r="G424" s="14" t="n">
        <v>1566</v>
      </c>
      <c r="H424" s="14" t="n">
        <v>376</v>
      </c>
      <c r="I424" s="14" t="n">
        <v>1190</v>
      </c>
      <c r="J424" s="15" t="n">
        <v>161.39</v>
      </c>
      <c r="K424" s="15" t="n">
        <v>156.46</v>
      </c>
      <c r="L424" s="17">
        <f>F424*(K424-J424)</f>
        <v/>
      </c>
    </row>
    <row r="425" ht="16.5" customHeight="1">
      <c r="D425" s="13" t="inlineStr">
        <is>
          <t>振樺電(8114)</t>
        </is>
      </c>
      <c r="E425" s="14" t="n">
        <v>61</v>
      </c>
      <c r="F425" s="14" t="n">
        <v>3</v>
      </c>
      <c r="G425" s="14" t="n">
        <v>1330</v>
      </c>
      <c r="H425" s="14" t="n">
        <v>65</v>
      </c>
      <c r="I425" s="14" t="n">
        <v>1265</v>
      </c>
      <c r="J425" s="15" t="n">
        <v>218</v>
      </c>
      <c r="K425" s="15" t="n">
        <v>216.33</v>
      </c>
      <c r="L425" s="17">
        <f>F425*(K425-J425)</f>
        <v/>
      </c>
    </row>
    <row r="426" ht="16.5" customHeight="1">
      <c r="D426" s="13" t="inlineStr">
        <is>
          <t>川湖(2059)</t>
        </is>
      </c>
      <c r="E426" s="14" t="n">
        <v>0</v>
      </c>
      <c r="F426" s="14" t="n">
        <v>0</v>
      </c>
      <c r="G426" s="14" t="n">
        <v>1289</v>
      </c>
      <c r="H426" s="14" t="n">
        <v>2170</v>
      </c>
      <c r="I426" s="14" t="n">
        <v>-881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譜瑞-KY(4966)</t>
        </is>
      </c>
      <c r="E427" s="14" t="n">
        <v>0</v>
      </c>
      <c r="F427" s="14" t="n">
        <v>0</v>
      </c>
      <c r="G427" s="14" t="n">
        <v>429</v>
      </c>
      <c r="H427" s="14" t="n">
        <v>2742</v>
      </c>
      <c r="I427" s="14" t="n">
        <v>-2313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聯詠(3034)</t>
        </is>
      </c>
      <c r="E428" s="14" t="n">
        <v>3</v>
      </c>
      <c r="F428" s="14" t="n">
        <v>64</v>
      </c>
      <c r="G428" s="14" t="n">
        <v>170</v>
      </c>
      <c r="H428" s="14" t="n">
        <v>3166</v>
      </c>
      <c r="I428" s="14" t="n">
        <v>-2996</v>
      </c>
      <c r="J428" s="15" t="n">
        <v>565.67</v>
      </c>
      <c r="K428" s="15" t="n">
        <v>494.67</v>
      </c>
      <c r="L428" s="17">
        <f>F428*(K428-J428)</f>
        <v/>
      </c>
    </row>
    <row r="429" ht="16.5" customHeight="1">
      <c r="D429" s="13" t="inlineStr">
        <is>
          <t>大聯大(3702)</t>
        </is>
      </c>
      <c r="E429" s="14" t="n">
        <v>12</v>
      </c>
      <c r="F429" s="14" t="n">
        <v>215</v>
      </c>
      <c r="G429" s="14" t="n">
        <v>138</v>
      </c>
      <c r="H429" s="14" t="n">
        <v>2477</v>
      </c>
      <c r="I429" s="14" t="n">
        <v>-2339</v>
      </c>
      <c r="J429" s="15" t="n">
        <v>114.92</v>
      </c>
      <c r="K429" s="15" t="n">
        <v>115.21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0</v>
      </c>
      <c r="F432" s="14" t="n">
        <v>0</v>
      </c>
      <c r="G432" s="14" t="n">
        <v>8248</v>
      </c>
      <c r="H432" s="14" t="n">
        <v>9554</v>
      </c>
      <c r="I432" s="14" t="n">
        <v>-1306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0</v>
      </c>
      <c r="F434" s="14" t="n">
        <v>0</v>
      </c>
      <c r="G434" s="14" t="n">
        <v>4248</v>
      </c>
      <c r="H434" s="14" t="n">
        <v>4949</v>
      </c>
      <c r="I434" s="14" t="n">
        <v>-701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0</v>
      </c>
      <c r="F436" s="14" t="n">
        <v>0</v>
      </c>
      <c r="G436" s="14" t="n">
        <v>3389</v>
      </c>
      <c r="H436" s="14" t="n">
        <v>1236</v>
      </c>
      <c r="I436" s="14" t="n">
        <v>2153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0</v>
      </c>
      <c r="F437" s="14" t="n">
        <v>0</v>
      </c>
      <c r="G437" s="14" t="n">
        <v>3002</v>
      </c>
      <c r="H437" s="14" t="n">
        <v>2498</v>
      </c>
      <c r="I437" s="14" t="n">
        <v>504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聯發科(2454)</t>
        </is>
      </c>
      <c r="E438" s="14" t="n">
        <v>0</v>
      </c>
      <c r="F438" s="14" t="n">
        <v>0</v>
      </c>
      <c r="G438" s="14" t="n">
        <v>2964</v>
      </c>
      <c r="H438" s="14" t="n">
        <v>1433</v>
      </c>
      <c r="I438" s="14" t="n">
        <v>1531</v>
      </c>
      <c r="J438" s="15" t="n">
        <v>0</v>
      </c>
      <c r="K438" s="15" t="n">
        <v>0</v>
      </c>
      <c r="L438" s="16">
        <f>F438*(K438-J438)</f>
        <v/>
      </c>
    </row>
    <row r="439" ht="16.5" customHeight="1">
      <c r="D439" s="13" t="inlineStr">
        <is>
          <t>穩懋(3105)</t>
        </is>
      </c>
      <c r="E439" s="14" t="n">
        <v>0</v>
      </c>
      <c r="F439" s="14" t="n">
        <v>0</v>
      </c>
      <c r="G439" s="14" t="n">
        <v>2584</v>
      </c>
      <c r="H439" s="14" t="n">
        <v>3291</v>
      </c>
      <c r="I439" s="14" t="n">
        <v>-707</v>
      </c>
      <c r="J439" s="15" t="n">
        <v>0</v>
      </c>
      <c r="K439" s="15" t="n">
        <v>0</v>
      </c>
      <c r="L439" s="16">
        <f>F439*(K439-J439)</f>
        <v/>
      </c>
    </row>
    <row r="440" ht="16.5" customHeight="1">
      <c r="D440" s="13" t="inlineStr">
        <is>
          <t>奇鋐(3017)</t>
        </is>
      </c>
      <c r="E440" s="14" t="n">
        <v>0</v>
      </c>
      <c r="F440" s="14" t="n">
        <v>0</v>
      </c>
      <c r="G440" s="14" t="n">
        <v>2547</v>
      </c>
      <c r="H440" s="14" t="n">
        <v>4151</v>
      </c>
      <c r="I440" s="14" t="n">
        <v>-1604</v>
      </c>
      <c r="J440" s="15" t="n">
        <v>0</v>
      </c>
      <c r="K440" s="15" t="n">
        <v>0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0</v>
      </c>
      <c r="F444" s="14" t="n">
        <v>0</v>
      </c>
      <c r="G444" s="14" t="n">
        <v>5034</v>
      </c>
      <c r="H444" s="14" t="n">
        <v>14312</v>
      </c>
      <c r="I444" s="14" t="n">
        <v>-9278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3455</v>
      </c>
      <c r="H446" s="14" t="n">
        <v>2845</v>
      </c>
      <c r="I446" s="14" t="n">
        <v>610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2100</v>
      </c>
      <c r="H449" s="14" t="n">
        <v>548</v>
      </c>
      <c r="I449" s="14" t="n">
        <v>1552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0</v>
      </c>
      <c r="F450" s="14" t="n">
        <v>0</v>
      </c>
      <c r="G450" s="14" t="n">
        <v>1650</v>
      </c>
      <c r="H450" s="14" t="n">
        <v>167</v>
      </c>
      <c r="I450" s="14" t="n">
        <v>1483</v>
      </c>
      <c r="J450" s="15" t="n">
        <v>0</v>
      </c>
      <c r="K450" s="15" t="n">
        <v>0</v>
      </c>
      <c r="L450" s="16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0</v>
      </c>
      <c r="F457" s="14" t="n">
        <v>0</v>
      </c>
      <c r="G457" s="14" t="n">
        <v>3991</v>
      </c>
      <c r="H457" s="14" t="n">
        <v>2844</v>
      </c>
      <c r="I457" s="14" t="n">
        <v>1147</v>
      </c>
      <c r="J457" s="15" t="n">
        <v>0</v>
      </c>
      <c r="K457" s="15" t="n">
        <v>0</v>
      </c>
      <c r="L457" s="16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0</v>
      </c>
      <c r="F459" s="14" t="n">
        <v>0</v>
      </c>
      <c r="G459" s="14" t="n">
        <v>3489</v>
      </c>
      <c r="H459" s="14" t="n">
        <v>1619</v>
      </c>
      <c r="I459" s="14" t="n">
        <v>1870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0</v>
      </c>
      <c r="F460" s="14" t="n">
        <v>0</v>
      </c>
      <c r="G460" s="14" t="n">
        <v>3262</v>
      </c>
      <c r="H460" s="14" t="n">
        <v>5572</v>
      </c>
      <c r="I460" s="14" t="n">
        <v>-2310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0</v>
      </c>
      <c r="F462" s="14" t="n">
        <v>0</v>
      </c>
      <c r="G462" s="14" t="n">
        <v>3158</v>
      </c>
      <c r="H462" s="14" t="n">
        <v>1903</v>
      </c>
      <c r="I462" s="14" t="n">
        <v>1255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2026-05-11T12:42:59Z</dcterms:modified>
</cp:coreProperties>
</file>