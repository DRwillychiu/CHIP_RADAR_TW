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8" sheetId="1" state="visible" r:id="rId1"/>
    <sheet name="20260617" sheetId="2" state="visible" r:id="rId2"/>
    <sheet name="20260616" sheetId="3" state="visible" r:id="rId3"/>
    <sheet name="20260615" sheetId="4" state="visible" r:id="rId4"/>
    <sheet name="20260612" sheetId="5" state="visible" r:id="rId5"/>
    <sheet name="20260611" sheetId="6" state="visible" r:id="rId6"/>
    <sheet name="20260610" sheetId="7" state="visible" r:id="rId7"/>
    <sheet name="20260609" sheetId="8" state="visible" r:id="rId8"/>
    <sheet name="20260608" sheetId="9" state="visible" r:id="rId9"/>
    <sheet name="20260605" sheetId="10" state="visible" r:id="rId10"/>
    <sheet name="20260604" sheetId="11" state="visible" r:id="rId11"/>
    <sheet name="20260603" sheetId="12" state="visible" r:id="rId12"/>
    <sheet name="20260602" sheetId="13" state="visible" r:id="rId13"/>
    <sheet name="20260601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8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">
        <f>F41*(K41-J41)</f>
        <v/>
      </c>
    </row>
    <row r="42" ht="16.5" customHeight="1">
      <c r="A42" s="16" t="n"/>
      <c r="B42" s="16" t="n"/>
      <c r="C42" s="16" t="n"/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">
        <f>F51*(K51-J51)</f>
        <v/>
      </c>
    </row>
    <row r="52" ht="16.5" customHeight="1">
      <c r="A52" s="16" t="n"/>
      <c r="B52" s="16" t="n"/>
      <c r="C52" s="16" t="n"/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">
        <f>F57*(K57-J57)</f>
        <v/>
      </c>
    </row>
    <row r="58" ht="16.5" customHeight="1">
      <c r="A58" s="16" t="n"/>
      <c r="B58" s="16" t="n"/>
      <c r="C58" s="16" t="n"/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26">
        <f>F81*(K81-J81)</f>
        <v/>
      </c>
    </row>
    <row r="82" ht="16.5" customHeight="1">
      <c r="A82" s="25" t="n"/>
      <c r="B82" s="25" t="n"/>
      <c r="C82" s="25" t="n"/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24">
        <f>F84*(K84-J84)</f>
        <v/>
      </c>
    </row>
    <row r="85" ht="16.5" customHeight="1">
      <c r="A85" s="25" t="n"/>
      <c r="B85" s="25" t="n"/>
      <c r="C85" s="25" t="n"/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24">
        <f>F92*(K92-J92)</f>
        <v/>
      </c>
    </row>
    <row r="93" ht="16.5" customHeight="1">
      <c r="A93" s="25" t="n"/>
      <c r="B93" s="25" t="n"/>
      <c r="C93" s="25" t="n"/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24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26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24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24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24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26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35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35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33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33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33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國巨*(2327)</t>
        </is>
      </c>
      <c r="E190" s="31" t="n">
        <v>118</v>
      </c>
      <c r="F190" s="31" t="n">
        <v>73</v>
      </c>
      <c r="G190" s="31" t="n">
        <v>12409</v>
      </c>
      <c r="H190" s="31" t="n">
        <v>7636</v>
      </c>
      <c r="I190" s="31" t="n">
        <v>4773</v>
      </c>
      <c r="J190" s="32" t="n">
        <v>1051.58</v>
      </c>
      <c r="K190" s="32" t="n">
        <v>1045.99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聯電(2303)</t>
        </is>
      </c>
      <c r="E191" s="31" t="n">
        <v>575</v>
      </c>
      <c r="F191" s="31" t="n">
        <v>141</v>
      </c>
      <c r="G191" s="31" t="n">
        <v>8262</v>
      </c>
      <c r="H191" s="31" t="n">
        <v>1996</v>
      </c>
      <c r="I191" s="31" t="n">
        <v>6266</v>
      </c>
      <c r="J191" s="32" t="n">
        <v>143.68</v>
      </c>
      <c r="K191" s="32" t="n">
        <v>141.54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景碩(3189)</t>
        </is>
      </c>
      <c r="E192" s="31" t="n">
        <v>115</v>
      </c>
      <c r="F192" s="31" t="n">
        <v>40</v>
      </c>
      <c r="G192" s="31" t="n">
        <v>8225</v>
      </c>
      <c r="H192" s="31" t="n">
        <v>2850</v>
      </c>
      <c r="I192" s="31" t="n">
        <v>5375</v>
      </c>
      <c r="J192" s="32" t="n">
        <v>715.1900000000001</v>
      </c>
      <c r="K192" s="32" t="n">
        <v>712.52</v>
      </c>
      <c r="L192" s="33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南亞科(2408)</t>
        </is>
      </c>
      <c r="E193" s="31" t="n">
        <v>175</v>
      </c>
      <c r="F193" s="31" t="n">
        <v>82</v>
      </c>
      <c r="G193" s="31" t="n">
        <v>7813</v>
      </c>
      <c r="H193" s="31" t="n">
        <v>3666</v>
      </c>
      <c r="I193" s="31" t="n">
        <v>4147</v>
      </c>
      <c r="J193" s="32" t="n">
        <v>446.47</v>
      </c>
      <c r="K193" s="32" t="n">
        <v>447.13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合晶(6182)</t>
        </is>
      </c>
      <c r="E194" s="31" t="n">
        <v>426</v>
      </c>
      <c r="F194" s="31" t="n">
        <v>258</v>
      </c>
      <c r="G194" s="31" t="n">
        <v>4999</v>
      </c>
      <c r="H194" s="31" t="n">
        <v>3032</v>
      </c>
      <c r="I194" s="31" t="n">
        <v>1967</v>
      </c>
      <c r="J194" s="32" t="n">
        <v>117.34</v>
      </c>
      <c r="K194" s="32" t="n">
        <v>117.53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4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4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4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51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53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6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70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70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70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79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87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85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96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96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96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96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96">
        <f>F426*(K426-J426)</f>
        <v/>
      </c>
    </row>
    <row r="427" ht="16.5" customHeight="1">
      <c r="A427" s="95" t="n"/>
      <c r="B427" s="95" t="n"/>
      <c r="C427" s="95" t="n"/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06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04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14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2026-06-19T14:18:20Z</dcterms:modified>
</cp:coreProperties>
</file>