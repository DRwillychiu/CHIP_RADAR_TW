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5" sheetId="6" state="visible" r:id="rId6"/>
    <sheet name="20261002" sheetId="7" state="visible" r:id="rId7"/>
    <sheet name="202610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0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0" customWidth="1" min="3" max="3"/>
    <col width="22" customWidth="1" min="4" max="4"/>
    <col width="16" customWidth="1" min="5" max="5"/>
  </cols>
  <sheetData>
    <row r="2" ht="30" customHeight="1">
      <c r="B2" s="1" t="inlineStr">
        <is>
          <t>📋 今日強共識買超 — 2026/10/05</t>
        </is>
      </c>
    </row>
    <row r="3">
      <c r="B3" s="277" t="inlineStr">
        <is>
          <t>≥10 位追蹤大戶共同淨買 (追蹤 14 位)  |  共 18 檔</t>
        </is>
      </c>
    </row>
    <row r="5">
      <c r="B5" s="278" t="inlineStr">
        <is>
          <t>個股</t>
        </is>
      </c>
      <c r="C5" s="278" t="inlineStr">
        <is>
          <t>代號</t>
        </is>
      </c>
      <c r="D5" s="278" t="inlineStr">
        <is>
          <t>領頭大戶</t>
        </is>
      </c>
      <c r="E5" s="278" t="inlineStr">
        <is>
          <t>領頭金額(萬)</t>
        </is>
      </c>
    </row>
    <row r="6">
      <c r="B6" s="77" t="inlineStr">
        <is>
          <t>國巨*</t>
        </is>
      </c>
      <c r="C6" s="88" t="inlineStr">
        <is>
          <t>2327</t>
        </is>
      </c>
      <c r="D6" s="77" t="inlineStr">
        <is>
          <t>陳族元</t>
        </is>
      </c>
      <c r="E6" s="279" t="n">
        <v>177499</v>
      </c>
    </row>
    <row r="7">
      <c r="B7" s="77" t="inlineStr">
        <is>
          <t>聯亞</t>
        </is>
      </c>
      <c r="C7" s="88" t="inlineStr">
        <is>
          <t>3081</t>
        </is>
      </c>
      <c r="D7" s="77" t="inlineStr">
        <is>
          <t>陳族元</t>
        </is>
      </c>
      <c r="E7" s="279" t="n">
        <v>115641</v>
      </c>
    </row>
    <row r="8">
      <c r="B8" s="77" t="inlineStr">
        <is>
          <t>大立光</t>
        </is>
      </c>
      <c r="C8" s="88" t="inlineStr">
        <is>
          <t>3008</t>
        </is>
      </c>
      <c r="D8" s="77" t="inlineStr">
        <is>
          <t>陳律師</t>
        </is>
      </c>
      <c r="E8" s="279" t="n">
        <v>59070</v>
      </c>
    </row>
    <row r="9">
      <c r="B9" s="77" t="inlineStr">
        <is>
          <t>聯電</t>
        </is>
      </c>
      <c r="C9" s="88" t="inlineStr">
        <is>
          <t>2303</t>
        </is>
      </c>
      <c r="D9" s="77" t="inlineStr">
        <is>
          <t>全村希望資本_村長</t>
        </is>
      </c>
      <c r="E9" s="279" t="n">
        <v>21723</v>
      </c>
    </row>
    <row r="10">
      <c r="B10" s="77" t="inlineStr">
        <is>
          <t>臻鼎-KY</t>
        </is>
      </c>
      <c r="C10" s="88" t="inlineStr">
        <is>
          <t>4958</t>
        </is>
      </c>
      <c r="D10" s="77" t="inlineStr">
        <is>
          <t>陳族元</t>
        </is>
      </c>
      <c r="E10" s="279" t="n">
        <v>40543</v>
      </c>
    </row>
    <row r="11">
      <c r="B11" s="77" t="inlineStr">
        <is>
          <t>友達</t>
        </is>
      </c>
      <c r="C11" s="88" t="inlineStr">
        <is>
          <t>2409</t>
        </is>
      </c>
      <c r="D11" s="77" t="inlineStr">
        <is>
          <t>張濬安(航海王)</t>
        </is>
      </c>
      <c r="E11" s="279" t="n">
        <v>9292</v>
      </c>
    </row>
    <row r="12">
      <c r="B12" s="77" t="inlineStr">
        <is>
          <t>南茂</t>
        </is>
      </c>
      <c r="C12" s="88" t="inlineStr">
        <is>
          <t>8150</t>
        </is>
      </c>
      <c r="D12" s="77" t="inlineStr">
        <is>
          <t>陳族元</t>
        </is>
      </c>
      <c r="E12" s="279" t="n">
        <v>19397</v>
      </c>
    </row>
    <row r="13">
      <c r="B13" s="77" t="inlineStr">
        <is>
          <t>華新科</t>
        </is>
      </c>
      <c r="C13" s="88" t="inlineStr">
        <is>
          <t>2492</t>
        </is>
      </c>
      <c r="D13" s="77" t="inlineStr">
        <is>
          <t>蔣承翰</t>
        </is>
      </c>
      <c r="E13" s="279" t="n">
        <v>10431</v>
      </c>
    </row>
    <row r="14">
      <c r="B14" s="77" t="inlineStr">
        <is>
          <t>頎邦</t>
        </is>
      </c>
      <c r="C14" s="88" t="inlineStr">
        <is>
          <t>6147</t>
        </is>
      </c>
      <c r="D14" s="77" t="inlineStr">
        <is>
          <t>張濬安(航海王)</t>
        </is>
      </c>
      <c r="E14" s="279" t="n">
        <v>25142</v>
      </c>
    </row>
    <row r="15">
      <c r="B15" s="77" t="inlineStr">
        <is>
          <t>台虹</t>
        </is>
      </c>
      <c r="C15" s="88" t="inlineStr">
        <is>
          <t>8039</t>
        </is>
      </c>
      <c r="D15" s="77" t="inlineStr">
        <is>
          <t>陳族元</t>
        </is>
      </c>
      <c r="E15" s="279" t="n">
        <v>5808</v>
      </c>
    </row>
    <row r="16">
      <c r="B16" s="77" t="inlineStr">
        <is>
          <t>力成</t>
        </is>
      </c>
      <c r="C16" s="88" t="inlineStr">
        <is>
          <t>6239</t>
        </is>
      </c>
      <c r="D16" s="77" t="inlineStr">
        <is>
          <t>全村希望資本_村長</t>
        </is>
      </c>
      <c r="E16" s="279" t="n">
        <v>5832</v>
      </c>
    </row>
    <row r="17">
      <c r="B17" s="77" t="inlineStr">
        <is>
          <t>環球晶</t>
        </is>
      </c>
      <c r="C17" s="88" t="inlineStr">
        <is>
          <t>6488</t>
        </is>
      </c>
      <c r="D17" s="77" t="inlineStr">
        <is>
          <t>陳律師</t>
        </is>
      </c>
      <c r="E17" s="279" t="n">
        <v>6440</v>
      </c>
    </row>
    <row r="18">
      <c r="B18" s="77" t="inlineStr">
        <is>
          <t>群創</t>
        </is>
      </c>
      <c r="C18" s="88" t="inlineStr">
        <is>
          <t>3481</t>
        </is>
      </c>
      <c r="D18" s="77" t="inlineStr">
        <is>
          <t>張濬安(航海王)</t>
        </is>
      </c>
      <c r="E18" s="279" t="n">
        <v>5156</v>
      </c>
    </row>
    <row r="19">
      <c r="B19" s="77" t="inlineStr">
        <is>
          <t>欣銓</t>
        </is>
      </c>
      <c r="C19" s="88" t="inlineStr">
        <is>
          <t>3264</t>
        </is>
      </c>
      <c r="D19" s="77" t="inlineStr">
        <is>
          <t>全村希望資本_村長</t>
        </is>
      </c>
      <c r="E19" s="279" t="n">
        <v>2308</v>
      </c>
    </row>
    <row r="20">
      <c r="B20" s="77" t="inlineStr">
        <is>
          <t>廣達</t>
        </is>
      </c>
      <c r="C20" s="88" t="inlineStr">
        <is>
          <t>2382</t>
        </is>
      </c>
      <c r="D20" s="77" t="inlineStr">
        <is>
          <t>全村希望資本_村長</t>
        </is>
      </c>
      <c r="E20" s="279" t="n">
        <v>2512</v>
      </c>
    </row>
    <row r="21">
      <c r="B21" s="77" t="inlineStr">
        <is>
          <t>京元電子</t>
        </is>
      </c>
      <c r="C21" s="88" t="inlineStr">
        <is>
          <t>2449</t>
        </is>
      </c>
      <c r="D21" s="77" t="inlineStr">
        <is>
          <t>全村希望資本_村長</t>
        </is>
      </c>
      <c r="E21" s="279" t="n">
        <v>4483</v>
      </c>
    </row>
    <row r="22">
      <c r="B22" s="77" t="inlineStr">
        <is>
          <t>仁寶</t>
        </is>
      </c>
      <c r="C22" s="88" t="inlineStr">
        <is>
          <t>2324</t>
        </is>
      </c>
      <c r="D22" s="77" t="inlineStr">
        <is>
          <t>強森</t>
        </is>
      </c>
      <c r="E22" s="279" t="n">
        <v>2699</v>
      </c>
    </row>
    <row r="23">
      <c r="B23" s="77" t="inlineStr">
        <is>
          <t>彩晶</t>
        </is>
      </c>
      <c r="C23" s="88" t="inlineStr">
        <is>
          <t>6116</t>
        </is>
      </c>
      <c r="D23" s="77" t="inlineStr">
        <is>
          <t>全村希望資本_村長</t>
        </is>
      </c>
      <c r="E23" s="279" t="n">
        <v>1376</v>
      </c>
    </row>
  </sheetData>
  <mergeCells count="2">
    <mergeCell ref="B3:E3"/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2026/10/05</t>
        </is>
      </c>
    </row>
    <row r="4">
      <c r="C4" s="67" t="inlineStr">
        <is>
          <t>🌡️ 今日籌碼偏向</t>
        </is>
      </c>
    </row>
    <row r="5" ht="24" customHeight="1">
      <c r="C5" s="68" t="inlineStr">
        <is>
          <t>↑ 偏多 (強度 +0.36)</t>
        </is>
      </c>
    </row>
    <row r="6">
      <c r="C6" s="261" t="inlineStr">
        <is>
          <t>描述非預測 · 實測對明日方向無優勢 (Δ+0.0pp)</t>
        </is>
      </c>
    </row>
    <row r="8">
      <c r="C8" s="270" t="inlineStr">
        <is>
          <t>⭐ Quad 命中 (實測 43.8% n=73)</t>
        </is>
      </c>
    </row>
    <row r="9">
      <c r="C9" s="271" t="inlineStr">
        <is>
          <t>🎯 國巨* (2327) · 11 大戶</t>
        </is>
      </c>
    </row>
    <row r="10">
      <c r="C10" s="271" t="inlineStr">
        <is>
          <t>🎯 聯亞 (3081) · 12 大戶</t>
        </is>
      </c>
    </row>
    <row r="11">
      <c r="C11" s="271" t="inlineStr">
        <is>
          <t>🎯 大立光 (3008) · 10 大戶</t>
        </is>
      </c>
    </row>
    <row r="12">
      <c r="C12" s="271" t="inlineStr">
        <is>
          <t>🎯 聯電 (2303) · 13 大戶</t>
        </is>
      </c>
    </row>
    <row r="13">
      <c r="C13" s="271" t="inlineStr">
        <is>
          <t>🎯 臻鼎-KY (4958) · 10 大戶</t>
        </is>
      </c>
    </row>
    <row r="15">
      <c r="C15" s="67" t="inlineStr">
        <is>
          <t>🎯 強共識買超 Top 5</t>
        </is>
      </c>
    </row>
    <row r="16">
      <c r="C16" s="69" t="inlineStr">
        <is>
          <t>⭐ 國巨* (2327) · 11 大戶</t>
        </is>
      </c>
    </row>
    <row r="17">
      <c r="C17" s="69" t="inlineStr">
        <is>
          <t>⭐ 聯亞 (3081) · 12 大戶</t>
        </is>
      </c>
    </row>
    <row r="18">
      <c r="C18" s="69" t="inlineStr">
        <is>
          <t>⭐ 大立光 (3008) · 10 大戶</t>
        </is>
      </c>
    </row>
    <row r="19">
      <c r="C19" s="69" t="inlineStr">
        <is>
          <t>⭐ 聯電 (2303) · 13 大戶</t>
        </is>
      </c>
    </row>
    <row r="20">
      <c r="C20" s="69" t="inlineStr">
        <is>
          <t>⭐ 臻鼎-KY (4958) · 10 大戶</t>
        </is>
      </c>
    </row>
    <row r="22">
      <c r="C22" s="67" t="inlineStr">
        <is>
          <t>📊 共識集中產業</t>
        </is>
      </c>
    </row>
    <row r="23">
      <c r="C23" s="69" t="inlineStr">
        <is>
          <t>半導體業 · 7 檔 (39%)</t>
        </is>
      </c>
    </row>
    <row r="24">
      <c r="C24" s="69" t="inlineStr">
        <is>
          <t>電子零組件業 · 4 檔 (22%)</t>
        </is>
      </c>
    </row>
    <row r="25">
      <c r="C25" s="69" t="inlineStr">
        <is>
          <t>光電業 · 4 檔 (22%)</t>
        </is>
      </c>
    </row>
    <row r="27">
      <c r="C27" s="67" t="inlineStr">
        <is>
          <t>📌 大牌分析師 今日 Top 3</t>
        </is>
      </c>
    </row>
    <row r="28">
      <c r="C28" s="69" t="inlineStr">
        <is>
          <t>國巨* (2327) · 10,242 萬 (★共識)</t>
        </is>
      </c>
    </row>
    <row r="29">
      <c r="C29" s="69" t="inlineStr">
        <is>
          <t>聯發科 (2454) · 9,456 萬</t>
        </is>
      </c>
    </row>
    <row r="30">
      <c r="C30" s="69" t="inlineStr">
        <is>
          <t>聯電 (2303) · 8,038 萬 (★共識)</t>
        </is>
      </c>
    </row>
    <row r="32">
      <c r="C32" s="70" t="inlineStr">
        <is>
          <t>⚠️ Mild_up watch (反向參考)</t>
        </is>
      </c>
    </row>
    <row r="33">
      <c r="C33" s="71" t="inlineStr">
        <is>
          <t>(歷史 41.7% hit, 平均 -0.72% — 別追)</t>
        </is>
      </c>
    </row>
    <row r="34">
      <c r="C34" s="72" t="inlineStr">
        <is>
          <t>⚠️ 頎邦 (6147) · 10 大戶</t>
        </is>
      </c>
    </row>
    <row r="36">
      <c r="C36" s="67" t="inlineStr">
        <is>
          <t>🚫 今日避開</t>
        </is>
      </c>
    </row>
    <row r="37">
      <c r="C37" s="69" t="inlineStr">
        <is>
          <t>除權息 3 檔 (00406A / 00939 / 00984D)</t>
        </is>
      </c>
    </row>
    <row r="38">
      <c r="C38" s="69" t="inlineStr">
        <is>
          <t>明日恐處置 3 檔 (3625 / 4304 / 4971)</t>
        </is>
      </c>
    </row>
    <row r="40">
      <c r="C40" s="67" t="inlineStr">
        <is>
          <t>📊 追蹤池方向</t>
        </is>
      </c>
    </row>
    <row r="41" ht="22" customHeight="1">
      <c r="C41" s="73" t="inlineStr">
        <is>
          <t>-104 億 淨買</t>
        </is>
      </c>
    </row>
    <row r="42">
      <c r="C42" s="71" t="inlineStr">
        <is>
          <t>比昨 -63 擴空 / 比 5d -83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32/73 = 43.8% (mean +0.10%)   |  30d: 6/6 = 100.0%  |  預期 78.9% (delta -35.1pp)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2026/10/02</t>
        </is>
      </c>
      <c r="C6" s="77" t="inlineStr">
        <is>
          <t>10/05</t>
        </is>
      </c>
      <c r="D6" s="78" t="inlineStr">
        <is>
          <t>偏多</t>
        </is>
      </c>
      <c r="E6" s="71" t="inlineStr">
        <is>
          <t>Tradow</t>
        </is>
      </c>
      <c r="F6" s="77" t="n">
        <v>6</v>
      </c>
      <c r="G6" s="85" t="n">
        <v>6</v>
      </c>
      <c r="H6" s="242" t="n">
        <v>100</v>
      </c>
      <c r="I6" s="241" t="n">
        <v>6.74</v>
      </c>
      <c r="J6" s="71" t="inlineStr">
        <is>
          <t>台積電(2330) +3.0% / 台燿(6274) +9.9% / 台達電(2308) +6.4% +3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巨人傑</t>
        </is>
      </c>
      <c r="F7" s="77" t="n">
        <v>11</v>
      </c>
      <c r="G7" s="79" t="n">
        <v>3</v>
      </c>
      <c r="H7" s="238" t="n">
        <v>27.27</v>
      </c>
      <c r="I7" s="239" t="n">
        <v>-1.26</v>
      </c>
      <c r="J7" s="71" t="inlineStr">
        <is>
          <t>南亞科(2408) +0.0% / 華邦電(2344) +1.7% / 力積電(6770) -0.6% +8</t>
        </is>
      </c>
    </row>
    <row r="8">
      <c r="B8" s="77" t="inlineStr">
        <is>
          <t>2026/08/14</t>
        </is>
      </c>
      <c r="C8" s="77" t="inlineStr">
        <is>
          <t>08/17</t>
        </is>
      </c>
      <c r="D8" s="78" t="inlineStr">
        <is>
          <t>偏多</t>
        </is>
      </c>
      <c r="E8" s="71" t="inlineStr">
        <is>
          <t>蔣承翰</t>
        </is>
      </c>
      <c r="F8" s="77" t="n">
        <v>11</v>
      </c>
      <c r="G8" s="82" t="n">
        <v>6</v>
      </c>
      <c r="H8" s="240" t="n">
        <v>54.55</v>
      </c>
      <c r="I8" s="241" t="n">
        <v>0.51</v>
      </c>
      <c r="J8" s="71" t="inlineStr">
        <is>
          <t>群聯(8299) +0.2% / 聯電(2303) +0.4% / 國巨*(2327) -2.2% +8</t>
        </is>
      </c>
    </row>
    <row r="9">
      <c r="B9" s="77" t="inlineStr">
        <is>
          <t>2026/08/10</t>
        </is>
      </c>
      <c r="C9" s="77" t="inlineStr">
        <is>
          <t>08/11</t>
        </is>
      </c>
      <c r="D9" s="78" t="inlineStr">
        <is>
          <t>偏多</t>
        </is>
      </c>
      <c r="E9" s="71" t="inlineStr">
        <is>
          <t>蔣承翰</t>
        </is>
      </c>
      <c r="F9" s="77" t="n">
        <v>6</v>
      </c>
      <c r="G9" s="82" t="n">
        <v>3</v>
      </c>
      <c r="H9" s="240" t="n">
        <v>50</v>
      </c>
      <c r="I9" s="241" t="n">
        <v>2.14</v>
      </c>
      <c r="J9" s="71" t="inlineStr">
        <is>
          <t>金像電(2368) +4.1% / 大量(3167) -3.0% / 臻鼎-KY(4958) +4.1% +3</t>
        </is>
      </c>
    </row>
    <row r="10">
      <c r="B10" s="77" t="inlineStr">
        <is>
          <t>2026/08/06</t>
        </is>
      </c>
      <c r="C10" s="77" t="inlineStr">
        <is>
          <t>08/07</t>
        </is>
      </c>
      <c r="D10" s="78" t="inlineStr">
        <is>
          <t>偏多</t>
        </is>
      </c>
      <c r="E10" s="71" t="inlineStr">
        <is>
          <t>布哥/n_nchang</t>
        </is>
      </c>
      <c r="F10" s="77" t="n">
        <v>9</v>
      </c>
      <c r="G10" s="79" t="n">
        <v>2</v>
      </c>
      <c r="H10" s="238" t="n">
        <v>22.22</v>
      </c>
      <c r="I10" s="239" t="n">
        <v>-2.39</v>
      </c>
      <c r="J10" s="71" t="inlineStr">
        <is>
          <t>力積電(6770) -1.6% / 國巨*(2327) -5.3% / 台積電(2330) +0.2% +6</t>
        </is>
      </c>
    </row>
    <row r="11">
      <c r="B11" s="77" t="inlineStr">
        <is>
          <t>2026/08/03</t>
        </is>
      </c>
      <c r="C11" s="77" t="inlineStr">
        <is>
          <t>08/04</t>
        </is>
      </c>
      <c r="D11" s="78" t="inlineStr">
        <is>
          <t>偏多</t>
        </is>
      </c>
      <c r="E11" s="71" t="inlineStr">
        <is>
          <t>蔣承翰</t>
        </is>
      </c>
      <c r="F11" s="77" t="n">
        <v>9</v>
      </c>
      <c r="G11" s="85" t="n">
        <v>7</v>
      </c>
      <c r="H11" s="242" t="n">
        <v>77.78</v>
      </c>
      <c r="I11" s="241" t="n">
        <v>3.44</v>
      </c>
      <c r="J11" s="71" t="inlineStr">
        <is>
          <t>台達電(2308) +2.5% / 力積電(6770) +9.9% / 台積電(2330) -2.1% +6</t>
        </is>
      </c>
    </row>
    <row r="12">
      <c r="B12" s="77" t="inlineStr">
        <is>
          <t>2026/07/22</t>
        </is>
      </c>
      <c r="C12" s="77" t="inlineStr">
        <is>
          <t>07/23</t>
        </is>
      </c>
      <c r="D12" s="78" t="inlineStr">
        <is>
          <t>偏多</t>
        </is>
      </c>
      <c r="E12" s="71" t="inlineStr">
        <is>
          <t>蔣承翰</t>
        </is>
      </c>
      <c r="F12" s="77" t="n">
        <v>11</v>
      </c>
      <c r="G12" s="79" t="n">
        <v>3</v>
      </c>
      <c r="H12" s="238" t="n">
        <v>27.27</v>
      </c>
      <c r="I12" s="239" t="n">
        <v>-1.93</v>
      </c>
      <c r="J12" s="71" t="inlineStr">
        <is>
          <t>群創(3481) -1.1% / 聯茂(6213) -6.4% / 漢翔(2634) -3.9% +8</t>
        </is>
      </c>
    </row>
    <row r="13">
      <c r="B13" s="77" t="inlineStr">
        <is>
          <t>2026/07/15</t>
        </is>
      </c>
      <c r="C13" s="77" t="inlineStr">
        <is>
          <t>07/16</t>
        </is>
      </c>
      <c r="D13" s="78" t="inlineStr">
        <is>
          <t>偏多</t>
        </is>
      </c>
      <c r="E13" s="71" t="inlineStr">
        <is>
          <t>蔣承翰</t>
        </is>
      </c>
      <c r="F13" s="77" t="n">
        <v>10</v>
      </c>
      <c r="G13" s="79" t="n">
        <v>2</v>
      </c>
      <c r="H13" s="238" t="n">
        <v>20</v>
      </c>
      <c r="I13" s="239" t="n">
        <v>-2.58</v>
      </c>
      <c r="J13" s="71" t="inlineStr">
        <is>
          <t>臻鼎-KY(4958) -6.5% / 合晶(6182) -7.5% / 大立光(3008) +5.5% +7</t>
        </is>
      </c>
    </row>
    <row r="15">
      <c r="B15" s="87" t="inlineStr">
        <is>
          <t>Per-Master Vol_Spike 可靠度 (排序 by 命中率)</t>
        </is>
      </c>
    </row>
    <row r="16">
      <c r="B16" s="76" t="inlineStr">
        <is>
          <t>Master</t>
        </is>
      </c>
      <c r="C16" s="76" t="inlineStr">
        <is>
          <t>trigger days</t>
        </is>
      </c>
      <c r="D16" s="76" t="inlineStr">
        <is>
          <t>all picks</t>
        </is>
      </c>
      <c r="E16" s="76" t="inlineStr">
        <is>
          <t>hits</t>
        </is>
      </c>
      <c r="F16" s="76" t="inlineStr">
        <is>
          <t>命中率</t>
        </is>
      </c>
      <c r="G16" s="76" t="inlineStr">
        <is>
          <t>mean%</t>
        </is>
      </c>
    </row>
    <row r="17">
      <c r="B17" s="77" t="inlineStr">
        <is>
          <t>Tradow</t>
        </is>
      </c>
      <c r="C17" s="88" t="n">
        <v>1</v>
      </c>
      <c r="D17" s="88" t="n">
        <v>6</v>
      </c>
      <c r="E17" s="88" t="n">
        <v>6</v>
      </c>
      <c r="F17" s="276" t="n">
        <v>100</v>
      </c>
      <c r="G17" s="241" t="n">
        <v>6.740000000000001</v>
      </c>
    </row>
    <row r="18">
      <c r="B18" s="77" t="inlineStr">
        <is>
          <t>蔣承翰</t>
        </is>
      </c>
      <c r="C18" s="88" t="n">
        <v>5</v>
      </c>
      <c r="D18" s="88" t="n">
        <v>47</v>
      </c>
      <c r="E18" s="88" t="n">
        <v>21</v>
      </c>
      <c r="F18" s="243" t="n">
        <v>44.68085106382978</v>
      </c>
      <c r="G18" s="241" t="n">
        <v>0.05000000000000006</v>
      </c>
    </row>
    <row r="19">
      <c r="B19" s="77" t="inlineStr">
        <is>
          <t>巨人傑</t>
        </is>
      </c>
      <c r="C19" s="88" t="n">
        <v>1</v>
      </c>
      <c r="D19" s="88" t="n">
        <v>11</v>
      </c>
      <c r="E19" s="88" t="n">
        <v>3</v>
      </c>
      <c r="F19" s="243" t="n">
        <v>27.27272727272727</v>
      </c>
      <c r="G19" s="239" t="n">
        <v>-1.260909090909091</v>
      </c>
    </row>
    <row r="20">
      <c r="B20" s="77" t="inlineStr">
        <is>
          <t>布哥/n_nchang</t>
        </is>
      </c>
      <c r="C20" s="88" t="n">
        <v>1</v>
      </c>
      <c r="D20" s="88" t="n">
        <v>9</v>
      </c>
      <c r="E20" s="88" t="n">
        <v>2</v>
      </c>
      <c r="F20" s="243" t="n">
        <v>22.22222222222222</v>
      </c>
      <c r="G20" s="239" t="n">
        <v>-2.394444444444444</v>
      </c>
    </row>
    <row r="22" ht="70" customHeight="1">
      <c r="B22" s="90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91" t="inlineStr">
        <is>
          <t>miss 41/73 (56.2%) | 預期 miss rate 21.1% | 差異 +35.1pp</t>
        </is>
      </c>
    </row>
    <row r="4" ht="18" customHeight="1">
      <c r="B4" s="92" t="inlineStr">
        <is>
          <t>歸因分布: 個股弱勢 (跑輸大盤 &gt;2pp): 23 | alpha noise (個股無系統性原因): 10 | 假共識 (領頭獨佔 ≥50%): 8 | TAIEX 整盤跌: 8 | flat close (隔日收 = 今日收, 真實現象): 1</t>
        </is>
      </c>
    </row>
    <row r="6" ht="22" customHeight="1">
      <c r="B6" s="93" t="inlineStr">
        <is>
          <t>日期</t>
        </is>
      </c>
      <c r="C6" s="93" t="inlineStr">
        <is>
          <t>隔日</t>
        </is>
      </c>
      <c r="D6" s="93" t="inlineStr">
        <is>
          <t>股票</t>
        </is>
      </c>
      <c r="E6" s="93" t="inlineStr">
        <is>
          <t>漲跌</t>
        </is>
      </c>
      <c r="F6" s="93" t="inlineStr">
        <is>
          <t>TAIEX</t>
        </is>
      </c>
      <c r="G6" s="93" t="inlineStr">
        <is>
          <t>超額</t>
        </is>
      </c>
      <c r="H6" s="93" t="inlineStr">
        <is>
          <t>領頭%</t>
        </is>
      </c>
      <c r="I6" s="93" t="inlineStr">
        <is>
          <t>Q5%</t>
        </is>
      </c>
      <c r="J6" s="93" t="inlineStr">
        <is>
          <t>觸發 master</t>
        </is>
      </c>
      <c r="K6" s="93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39" t="n">
        <v>0</v>
      </c>
      <c r="F7" s="247" t="n">
        <v>-1.67</v>
      </c>
      <c r="G7" s="263" t="n">
        <v>1.67</v>
      </c>
      <c r="H7" s="244" t="n">
        <v>15.2</v>
      </c>
      <c r="I7" s="245" t="n">
        <v>95</v>
      </c>
      <c r="J7" s="71" t="inlineStr">
        <is>
          <t>巨人傑</t>
        </is>
      </c>
      <c r="K7" s="96" t="inlineStr">
        <is>
          <t>flat close (隔日收 = 今日收, 真實現象) | TAIEX 整盤跌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39" t="n">
        <v>-0.5600000000000001</v>
      </c>
      <c r="F8" s="247" t="n">
        <v>-1.67</v>
      </c>
      <c r="G8" s="263" t="n">
        <v>1.11</v>
      </c>
      <c r="H8" s="244" t="n">
        <v>18.8</v>
      </c>
      <c r="I8" s="245" t="n">
        <v>95</v>
      </c>
      <c r="J8" s="71" t="inlineStr">
        <is>
          <t>巨人傑</t>
        </is>
      </c>
      <c r="K8" s="96" t="inlineStr">
        <is>
          <t>TAIEX 整盤跌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39" t="n">
        <v>-3.68</v>
      </c>
      <c r="F9" s="247" t="n">
        <v>-1.67</v>
      </c>
      <c r="G9" s="248" t="n">
        <v>-2.01</v>
      </c>
      <c r="H9" s="244" t="n">
        <v>40.5</v>
      </c>
      <c r="I9" s="245" t="n">
        <v>95</v>
      </c>
      <c r="J9" s="71" t="inlineStr">
        <is>
          <t>巨人傑</t>
        </is>
      </c>
      <c r="K9" s="96" t="inlineStr">
        <is>
          <t>TAIEX 整盤跌 | 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39" t="n">
        <v>-0.38</v>
      </c>
      <c r="F10" s="247" t="n">
        <v>-1.67</v>
      </c>
      <c r="G10" s="263" t="n">
        <v>1.29</v>
      </c>
      <c r="H10" s="246" t="n">
        <v>51.3</v>
      </c>
      <c r="I10" s="245" t="n">
        <v>95</v>
      </c>
      <c r="J10" s="71" t="inlineStr">
        <is>
          <t>巨人傑</t>
        </is>
      </c>
      <c r="K10" s="96" t="inlineStr">
        <is>
          <t>TAIEX 整盤跌 | 假共識 (領頭獨佔 ≥50%)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39" t="n">
        <v>-2.82</v>
      </c>
      <c r="F11" s="247" t="n">
        <v>-1.67</v>
      </c>
      <c r="G11" s="248" t="n">
        <v>-1.15</v>
      </c>
      <c r="H11" s="244" t="n">
        <v>31.7</v>
      </c>
      <c r="I11" s="245" t="n">
        <v>95</v>
      </c>
      <c r="J11" s="71" t="inlineStr">
        <is>
          <t>巨人傑</t>
        </is>
      </c>
      <c r="K11" s="96" t="inlineStr">
        <is>
          <t>TAIEX 整盤跌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金居(8358)</t>
        </is>
      </c>
      <c r="E12" s="239" t="n">
        <v>-4.37</v>
      </c>
      <c r="F12" s="247" t="n">
        <v>-1.67</v>
      </c>
      <c r="G12" s="248" t="n">
        <v>-2.7</v>
      </c>
      <c r="H12" s="244" t="n">
        <v>24.1</v>
      </c>
      <c r="I12" s="245" t="n">
        <v>95</v>
      </c>
      <c r="J12" s="71" t="inlineStr">
        <is>
          <t>巨人傑</t>
        </is>
      </c>
      <c r="K12" s="96" t="inlineStr">
        <is>
          <t>TAIEX 整盤跌 | 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金像電(2368)</t>
        </is>
      </c>
      <c r="E13" s="239" t="n">
        <v>-4.08</v>
      </c>
      <c r="F13" s="247" t="n">
        <v>-1.67</v>
      </c>
      <c r="G13" s="248" t="n">
        <v>-2.41</v>
      </c>
      <c r="H13" s="246" t="n">
        <v>61.6</v>
      </c>
      <c r="I13" s="245" t="n">
        <v>95</v>
      </c>
      <c r="J13" s="71" t="inlineStr">
        <is>
          <t>巨人傑</t>
        </is>
      </c>
      <c r="K13" s="96" t="inlineStr">
        <is>
          <t>TAIEX 整盤跌 | 假共識 (領頭獨佔 ≥50%) | 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南電(8046)</t>
        </is>
      </c>
      <c r="E14" s="239" t="n">
        <v>-2.04</v>
      </c>
      <c r="F14" s="247" t="n">
        <v>-1.67</v>
      </c>
      <c r="G14" s="248" t="n">
        <v>-0.37</v>
      </c>
      <c r="H14" s="246" t="n">
        <v>57.2</v>
      </c>
      <c r="I14" s="245" t="n">
        <v>95</v>
      </c>
      <c r="J14" s="71" t="inlineStr">
        <is>
          <t>巨人傑</t>
        </is>
      </c>
      <c r="K14" s="96" t="inlineStr">
        <is>
          <t>TAIEX 整盤跌 | 假共識 (領頭獨佔 ≥50%)</t>
        </is>
      </c>
    </row>
    <row r="15">
      <c r="B15" s="77" t="inlineStr">
        <is>
          <t>2026/08/14</t>
        </is>
      </c>
      <c r="C15" s="77" t="inlineStr">
        <is>
          <t>08/17</t>
        </is>
      </c>
      <c r="D15" s="77" t="inlineStr">
        <is>
          <t>國巨*(2327)</t>
        </is>
      </c>
      <c r="E15" s="239" t="n">
        <v>-2.25</v>
      </c>
      <c r="F15" s="247" t="n">
        <v>0.1</v>
      </c>
      <c r="G15" s="248" t="n">
        <v>-2.35</v>
      </c>
      <c r="H15" s="244" t="n">
        <v>35.09999999999999</v>
      </c>
      <c r="I15" s="245" t="n">
        <v>95</v>
      </c>
      <c r="J15" s="71" t="inlineStr">
        <is>
          <t>蔣承翰</t>
        </is>
      </c>
      <c r="K15" s="96" t="inlineStr">
        <is>
          <t>個股弱勢 (跑輸大盤 &gt;2pp)</t>
        </is>
      </c>
    </row>
    <row r="16">
      <c r="B16" s="77" t="inlineStr">
        <is>
          <t>2026/08/14</t>
        </is>
      </c>
      <c r="C16" s="77" t="inlineStr">
        <is>
          <t>08/17</t>
        </is>
      </c>
      <c r="D16" s="77" t="inlineStr">
        <is>
          <t>華新科(2492)</t>
        </is>
      </c>
      <c r="E16" s="239" t="n">
        <v>-3.64</v>
      </c>
      <c r="F16" s="247" t="n">
        <v>0.1</v>
      </c>
      <c r="G16" s="248" t="n">
        <v>-3.74</v>
      </c>
      <c r="H16" s="244" t="n">
        <v>26.8</v>
      </c>
      <c r="I16" s="245" t="n">
        <v>95</v>
      </c>
      <c r="J16" s="71" t="inlineStr">
        <is>
          <t>蔣承翰</t>
        </is>
      </c>
      <c r="K16" s="96" t="inlineStr">
        <is>
          <t>個股弱勢 (跑輸大盤 &gt;2pp)</t>
        </is>
      </c>
    </row>
    <row r="17">
      <c r="B17" s="77" t="inlineStr">
        <is>
          <t>2026/08/14</t>
        </is>
      </c>
      <c r="C17" s="77" t="inlineStr">
        <is>
          <t>08/17</t>
        </is>
      </c>
      <c r="D17" s="77" t="inlineStr">
        <is>
          <t>鴻海(2317)</t>
        </is>
      </c>
      <c r="E17" s="239" t="n">
        <v>-1.73</v>
      </c>
      <c r="F17" s="247" t="n">
        <v>0.1</v>
      </c>
      <c r="G17" s="248" t="n">
        <v>-1.83</v>
      </c>
      <c r="H17" s="244" t="n">
        <v>35.4</v>
      </c>
      <c r="I17" s="245" t="n">
        <v>95</v>
      </c>
      <c r="J17" s="71" t="inlineStr">
        <is>
          <t>蔣承翰</t>
        </is>
      </c>
      <c r="K17" s="96" t="inlineStr">
        <is>
          <t>alpha noise (個股無系統性原因)</t>
        </is>
      </c>
    </row>
    <row r="18">
      <c r="B18" s="77" t="inlineStr">
        <is>
          <t>2026/08/14</t>
        </is>
      </c>
      <c r="C18" s="77" t="inlineStr">
        <is>
          <t>08/17</t>
        </is>
      </c>
      <c r="D18" s="77" t="inlineStr">
        <is>
          <t>中鋼(2002)</t>
        </is>
      </c>
      <c r="E18" s="239" t="n">
        <v>-0.79</v>
      </c>
      <c r="F18" s="247" t="n">
        <v>0.1</v>
      </c>
      <c r="G18" s="248" t="n">
        <v>-0.89</v>
      </c>
      <c r="H18" s="246" t="n">
        <v>56.7</v>
      </c>
      <c r="I18" s="245" t="n">
        <v>95</v>
      </c>
      <c r="J18" s="71" t="inlineStr">
        <is>
          <t>蔣承翰</t>
        </is>
      </c>
      <c r="K18" s="96" t="inlineStr">
        <is>
          <t>假共識 (領頭獨佔 ≥50%)</t>
        </is>
      </c>
    </row>
    <row r="19">
      <c r="B19" s="77" t="inlineStr">
        <is>
          <t>2026/08/14</t>
        </is>
      </c>
      <c r="C19" s="77" t="inlineStr">
        <is>
          <t>08/17</t>
        </is>
      </c>
      <c r="D19" s="77" t="inlineStr">
        <is>
          <t>金居(8358)</t>
        </is>
      </c>
      <c r="E19" s="239" t="n">
        <v>-2.1</v>
      </c>
      <c r="F19" s="247" t="n">
        <v>0.1</v>
      </c>
      <c r="G19" s="248" t="n">
        <v>-2.2</v>
      </c>
      <c r="H19" s="244" t="n">
        <v>26.9</v>
      </c>
      <c r="I19" s="245" t="n">
        <v>95</v>
      </c>
      <c r="J19" s="71" t="inlineStr">
        <is>
          <t>蔣承翰</t>
        </is>
      </c>
      <c r="K19" s="96" t="inlineStr">
        <is>
          <t>個股弱勢 (跑輸大盤 &gt;2pp)</t>
        </is>
      </c>
    </row>
    <row r="20">
      <c r="B20" s="77" t="inlineStr">
        <is>
          <t>2026/08/10</t>
        </is>
      </c>
      <c r="C20" s="77" t="inlineStr">
        <is>
          <t>08/11</t>
        </is>
      </c>
      <c r="D20" s="77" t="inlineStr">
        <is>
          <t>大量(3167)</t>
        </is>
      </c>
      <c r="E20" s="239" t="n">
        <v>-3.05</v>
      </c>
      <c r="F20" s="247" t="n">
        <v>0.43</v>
      </c>
      <c r="G20" s="248" t="n">
        <v>-3.48</v>
      </c>
      <c r="H20" s="244" t="n">
        <v>33.5</v>
      </c>
      <c r="I20" s="245" t="n">
        <v>95</v>
      </c>
      <c r="J20" s="71" t="inlineStr">
        <is>
          <t>蔣承翰</t>
        </is>
      </c>
      <c r="K20" s="96" t="inlineStr">
        <is>
          <t>個股弱勢 (跑輸大盤 &gt;2pp)</t>
        </is>
      </c>
    </row>
    <row r="21">
      <c r="B21" s="77" t="inlineStr">
        <is>
          <t>2026/08/10</t>
        </is>
      </c>
      <c r="C21" s="77" t="inlineStr">
        <is>
          <t>08/11</t>
        </is>
      </c>
      <c r="D21" s="77" t="inlineStr">
        <is>
          <t>威剛(3260)</t>
        </is>
      </c>
      <c r="E21" s="239" t="n">
        <v>-1.34</v>
      </c>
      <c r="F21" s="247" t="n">
        <v>0.43</v>
      </c>
      <c r="G21" s="248" t="n">
        <v>-1.77</v>
      </c>
      <c r="H21" s="244" t="n">
        <v>30.4</v>
      </c>
      <c r="I21" s="245" t="n">
        <v>95</v>
      </c>
      <c r="J21" s="71" t="inlineStr">
        <is>
          <t>蔣承翰</t>
        </is>
      </c>
      <c r="K21" s="96" t="inlineStr">
        <is>
          <t>alpha noise (個股無系統性原因)</t>
        </is>
      </c>
    </row>
    <row r="22">
      <c r="B22" s="77" t="inlineStr">
        <is>
          <t>2026/08/10</t>
        </is>
      </c>
      <c r="C22" s="77" t="inlineStr">
        <is>
          <t>08/11</t>
        </is>
      </c>
      <c r="D22" s="77" t="inlineStr">
        <is>
          <t>華航(2610)</t>
        </is>
      </c>
      <c r="E22" s="239" t="n">
        <v>-0.98</v>
      </c>
      <c r="F22" s="247" t="n">
        <v>0.43</v>
      </c>
      <c r="G22" s="248" t="n">
        <v>-1.41</v>
      </c>
      <c r="H22" s="244" t="n">
        <v>13.4</v>
      </c>
      <c r="I22" s="245" t="n">
        <v>95</v>
      </c>
      <c r="J22" s="71" t="inlineStr">
        <is>
          <t>蔣承翰</t>
        </is>
      </c>
      <c r="K22" s="96" t="inlineStr">
        <is>
          <t>alpha noise (個股無系統性原因)</t>
        </is>
      </c>
    </row>
    <row r="23">
      <c r="B23" s="77" t="inlineStr">
        <is>
          <t>2026/08/06</t>
        </is>
      </c>
      <c r="C23" s="77" t="inlineStr">
        <is>
          <t>08/07</t>
        </is>
      </c>
      <c r="D23" s="77" t="inlineStr">
        <is>
          <t>力積電(6770)</t>
        </is>
      </c>
      <c r="E23" s="239" t="n">
        <v>-1.65</v>
      </c>
      <c r="F23" s="247" t="n">
        <v>-0.38</v>
      </c>
      <c r="G23" s="248" t="n">
        <v>-1.27</v>
      </c>
      <c r="H23" s="244" t="n">
        <v>39.5</v>
      </c>
      <c r="I23" s="245" t="n">
        <v>82.09999999999999</v>
      </c>
      <c r="J23" s="71" t="inlineStr">
        <is>
          <t>布哥/n_nchang</t>
        </is>
      </c>
      <c r="K23" s="96" t="inlineStr">
        <is>
          <t>alpha noise (個股無系統性原因)</t>
        </is>
      </c>
    </row>
    <row r="24">
      <c r="B24" s="77" t="inlineStr">
        <is>
          <t>2026/08/06</t>
        </is>
      </c>
      <c r="C24" s="77" t="inlineStr">
        <is>
          <t>08/07</t>
        </is>
      </c>
      <c r="D24" s="77" t="inlineStr">
        <is>
          <t>國巨*(2327)</t>
        </is>
      </c>
      <c r="E24" s="239" t="n">
        <v>-5.26</v>
      </c>
      <c r="F24" s="247" t="n">
        <v>-0.38</v>
      </c>
      <c r="G24" s="248" t="n">
        <v>-4.88</v>
      </c>
      <c r="H24" s="244" t="n">
        <v>32.6</v>
      </c>
      <c r="I24" s="245" t="n">
        <v>82.09999999999999</v>
      </c>
      <c r="J24" s="71" t="inlineStr">
        <is>
          <t>布哥/n_nchang</t>
        </is>
      </c>
      <c r="K24" s="96" t="inlineStr">
        <is>
          <t>個股弱勢 (跑輸大盤 &gt;2pp)</t>
        </is>
      </c>
    </row>
    <row r="25">
      <c r="B25" s="77" t="inlineStr">
        <is>
          <t>2026/08/06</t>
        </is>
      </c>
      <c r="C25" s="77" t="inlineStr">
        <is>
          <t>08/07</t>
        </is>
      </c>
      <c r="D25" s="77" t="inlineStr">
        <is>
          <t>穩懋(3105)</t>
        </is>
      </c>
      <c r="E25" s="239" t="n">
        <v>-4.19</v>
      </c>
      <c r="F25" s="247" t="n">
        <v>-0.38</v>
      </c>
      <c r="G25" s="248" t="n">
        <v>-3.81</v>
      </c>
      <c r="H25" s="244" t="n">
        <v>28.5</v>
      </c>
      <c r="I25" s="245" t="n">
        <v>82.09999999999999</v>
      </c>
      <c r="J25" s="71" t="inlineStr">
        <is>
          <t>布哥/n_nchang</t>
        </is>
      </c>
      <c r="K25" s="96" t="inlineStr">
        <is>
          <t>個股弱勢 (跑輸大盤 &gt;2pp)</t>
        </is>
      </c>
    </row>
    <row r="26">
      <c r="B26" s="77" t="inlineStr">
        <is>
          <t>2026/08/06</t>
        </is>
      </c>
      <c r="C26" s="77" t="inlineStr">
        <is>
          <t>08/07</t>
        </is>
      </c>
      <c r="D26" s="77" t="inlineStr">
        <is>
          <t>緯創(3231)</t>
        </is>
      </c>
      <c r="E26" s="239" t="n">
        <v>-3.17</v>
      </c>
      <c r="F26" s="247" t="n">
        <v>-0.38</v>
      </c>
      <c r="G26" s="248" t="n">
        <v>-2.79</v>
      </c>
      <c r="H26" s="244" t="n">
        <v>30.4</v>
      </c>
      <c r="I26" s="245" t="n">
        <v>82.09999999999999</v>
      </c>
      <c r="J26" s="71" t="inlineStr">
        <is>
          <t>布哥/n_nchang</t>
        </is>
      </c>
      <c r="K26" s="96" t="inlineStr">
        <is>
          <t>個股弱勢 (跑輸大盤 &gt;2pp)</t>
        </is>
      </c>
    </row>
    <row r="27">
      <c r="B27" s="77" t="inlineStr">
        <is>
          <t>2026/08/06</t>
        </is>
      </c>
      <c r="C27" s="77" t="inlineStr">
        <is>
          <t>08/07</t>
        </is>
      </c>
      <c r="D27" s="77" t="inlineStr">
        <is>
          <t>台燿(6274)</t>
        </is>
      </c>
      <c r="E27" s="239" t="n">
        <v>-5.88</v>
      </c>
      <c r="F27" s="247" t="n">
        <v>-0.38</v>
      </c>
      <c r="G27" s="248" t="n">
        <v>-5.5</v>
      </c>
      <c r="H27" s="244" t="n">
        <v>42.6</v>
      </c>
      <c r="I27" s="245" t="n">
        <v>82.09999999999999</v>
      </c>
      <c r="J27" s="71" t="inlineStr">
        <is>
          <t>布哥/n_nchang</t>
        </is>
      </c>
      <c r="K27" s="96" t="inlineStr">
        <is>
          <t>個股弱勢 (跑輸大盤 &gt;2pp)</t>
        </is>
      </c>
    </row>
    <row r="28">
      <c r="B28" s="77" t="inlineStr">
        <is>
          <t>2026/08/06</t>
        </is>
      </c>
      <c r="C28" s="77" t="inlineStr">
        <is>
          <t>08/07</t>
        </is>
      </c>
      <c r="D28" s="77" t="inlineStr">
        <is>
          <t>聯發科(2454)</t>
        </is>
      </c>
      <c r="E28" s="239" t="n">
        <v>-0.51</v>
      </c>
      <c r="F28" s="247" t="n">
        <v>-0.38</v>
      </c>
      <c r="G28" s="248" t="n">
        <v>-0.13</v>
      </c>
      <c r="H28" s="244" t="n">
        <v>42.1</v>
      </c>
      <c r="I28" s="245" t="n">
        <v>82.09999999999999</v>
      </c>
      <c r="J28" s="71" t="inlineStr">
        <is>
          <t>布哥/n_nchang</t>
        </is>
      </c>
      <c r="K28" s="96" t="inlineStr">
        <is>
          <t>alpha noise (個股無系統性原因)</t>
        </is>
      </c>
    </row>
    <row r="29">
      <c r="B29" s="77" t="inlineStr">
        <is>
          <t>2026/08/06</t>
        </is>
      </c>
      <c r="C29" s="77" t="inlineStr">
        <is>
          <t>08/07</t>
        </is>
      </c>
      <c r="D29" s="77" t="inlineStr">
        <is>
          <t>頎邦(6147)</t>
        </is>
      </c>
      <c r="E29" s="239" t="n">
        <v>-2.98</v>
      </c>
      <c r="F29" s="247" t="n">
        <v>-0.38</v>
      </c>
      <c r="G29" s="248" t="n">
        <v>-2.6</v>
      </c>
      <c r="H29" s="244" t="n">
        <v>30.8</v>
      </c>
      <c r="I29" s="245" t="n">
        <v>82.09999999999999</v>
      </c>
      <c r="J29" s="71" t="inlineStr">
        <is>
          <t>布哥/n_nchang</t>
        </is>
      </c>
      <c r="K29" s="96" t="inlineStr">
        <is>
          <t>個股弱勢 (跑輸大盤 &gt;2pp)</t>
        </is>
      </c>
    </row>
    <row r="30">
      <c r="B30" s="77" t="inlineStr">
        <is>
          <t>2026/08/03</t>
        </is>
      </c>
      <c r="C30" s="77" t="inlineStr">
        <is>
          <t>08/04</t>
        </is>
      </c>
      <c r="D30" s="77" t="inlineStr">
        <is>
          <t>台積電(2330)</t>
        </is>
      </c>
      <c r="E30" s="239" t="n">
        <v>-2.11</v>
      </c>
      <c r="F30" s="247" t="n">
        <v>-0.06</v>
      </c>
      <c r="G30" s="248" t="n">
        <v>-2.05</v>
      </c>
      <c r="H30" s="244" t="n">
        <v>35.4</v>
      </c>
      <c r="I30" s="245" t="n">
        <v>81.7</v>
      </c>
      <c r="J30" s="71" t="inlineStr">
        <is>
          <t>蔣承翰</t>
        </is>
      </c>
      <c r="K30" s="96" t="inlineStr">
        <is>
          <t>個股弱勢 (跑輸大盤 &gt;2pp)</t>
        </is>
      </c>
    </row>
    <row r="31">
      <c r="B31" s="77" t="inlineStr">
        <is>
          <t>2026/08/03</t>
        </is>
      </c>
      <c r="C31" s="77" t="inlineStr">
        <is>
          <t>08/04</t>
        </is>
      </c>
      <c r="D31" s="77" t="inlineStr">
        <is>
          <t>致茂(2360)</t>
        </is>
      </c>
      <c r="E31" s="239" t="n">
        <v>-1.79</v>
      </c>
      <c r="F31" s="247" t="n">
        <v>-0.06</v>
      </c>
      <c r="G31" s="248" t="n">
        <v>-1.73</v>
      </c>
      <c r="H31" s="246" t="n">
        <v>52.90000000000001</v>
      </c>
      <c r="I31" s="245" t="n">
        <v>81.7</v>
      </c>
      <c r="J31" s="71" t="inlineStr">
        <is>
          <t>蔣承翰</t>
        </is>
      </c>
      <c r="K31" s="96" t="inlineStr">
        <is>
          <t>假共識 (領頭獨佔 ≥50%)</t>
        </is>
      </c>
    </row>
    <row r="32">
      <c r="B32" s="77" t="inlineStr">
        <is>
          <t>2026/07/22</t>
        </is>
      </c>
      <c r="C32" s="77" t="inlineStr">
        <is>
          <t>07/23</t>
        </is>
      </c>
      <c r="D32" s="77" t="inlineStr">
        <is>
          <t>群創(3481)</t>
        </is>
      </c>
      <c r="E32" s="239" t="n">
        <v>-1.14</v>
      </c>
      <c r="F32" s="247" t="n">
        <v>0.06</v>
      </c>
      <c r="G32" s="248" t="n">
        <v>-1.2</v>
      </c>
      <c r="H32" s="244" t="n">
        <v>37.8</v>
      </c>
      <c r="I32" s="245" t="n">
        <v>95</v>
      </c>
      <c r="J32" s="71" t="inlineStr">
        <is>
          <t>蔣承翰</t>
        </is>
      </c>
      <c r="K32" s="96" t="inlineStr">
        <is>
          <t>alpha noise (個股無系統性原因)</t>
        </is>
      </c>
    </row>
    <row r="33">
      <c r="B33" s="77" t="inlineStr">
        <is>
          <t>2026/07/22</t>
        </is>
      </c>
      <c r="C33" s="77" t="inlineStr">
        <is>
          <t>07/23</t>
        </is>
      </c>
      <c r="D33" s="77" t="inlineStr">
        <is>
          <t>聯茂(6213)</t>
        </is>
      </c>
      <c r="E33" s="239" t="n">
        <v>-6.4</v>
      </c>
      <c r="F33" s="247" t="n">
        <v>0.06</v>
      </c>
      <c r="G33" s="248" t="n">
        <v>-6.46</v>
      </c>
      <c r="H33" s="244" t="n">
        <v>43.4</v>
      </c>
      <c r="I33" s="245" t="n">
        <v>95</v>
      </c>
      <c r="J33" s="71" t="inlineStr">
        <is>
          <t>蔣承翰</t>
        </is>
      </c>
      <c r="K33" s="96" t="inlineStr">
        <is>
          <t>個股弱勢 (跑輸大盤 &gt;2pp)</t>
        </is>
      </c>
    </row>
    <row r="34">
      <c r="B34" s="77" t="inlineStr">
        <is>
          <t>2026/07/22</t>
        </is>
      </c>
      <c r="C34" s="77" t="inlineStr">
        <is>
          <t>07/23</t>
        </is>
      </c>
      <c r="D34" s="77" t="inlineStr">
        <is>
          <t>漢翔(2634)</t>
        </is>
      </c>
      <c r="E34" s="239" t="n">
        <v>-3.88</v>
      </c>
      <c r="F34" s="247" t="n">
        <v>0.06</v>
      </c>
      <c r="G34" s="248" t="n">
        <v>-3.94</v>
      </c>
      <c r="H34" s="244" t="n">
        <v>26.8</v>
      </c>
      <c r="I34" s="245" t="n">
        <v>95</v>
      </c>
      <c r="J34" s="71" t="inlineStr">
        <is>
          <t>蔣承翰</t>
        </is>
      </c>
      <c r="K34" s="96" t="inlineStr">
        <is>
          <t>個股弱勢 (跑輸大盤 &gt;2pp)</t>
        </is>
      </c>
    </row>
    <row r="35">
      <c r="B35" s="77" t="inlineStr">
        <is>
          <t>2026/07/22</t>
        </is>
      </c>
      <c r="C35" s="77" t="inlineStr">
        <is>
          <t>07/23</t>
        </is>
      </c>
      <c r="D35" s="77" t="inlineStr">
        <is>
          <t>金居(8358)</t>
        </is>
      </c>
      <c r="E35" s="239" t="n">
        <v>-1.45</v>
      </c>
      <c r="F35" s="247" t="n">
        <v>0.06</v>
      </c>
      <c r="G35" s="248" t="n">
        <v>-1.51</v>
      </c>
      <c r="H35" s="244" t="n">
        <v>34.9</v>
      </c>
      <c r="I35" s="245" t="n">
        <v>95</v>
      </c>
      <c r="J35" s="71" t="inlineStr">
        <is>
          <t>蔣承翰</t>
        </is>
      </c>
      <c r="K35" s="96" t="inlineStr">
        <is>
          <t>alpha noise (個股無系統性原因)</t>
        </is>
      </c>
    </row>
    <row r="36">
      <c r="B36" s="77" t="inlineStr">
        <is>
          <t>2026/07/22</t>
        </is>
      </c>
      <c r="C36" s="77" t="inlineStr">
        <is>
          <t>07/23</t>
        </is>
      </c>
      <c r="D36" s="77" t="inlineStr">
        <is>
          <t>景碩(3189)</t>
        </is>
      </c>
      <c r="E36" s="239" t="n">
        <v>-1.38</v>
      </c>
      <c r="F36" s="247" t="n">
        <v>0.06</v>
      </c>
      <c r="G36" s="248" t="n">
        <v>-1.44</v>
      </c>
      <c r="H36" s="244" t="n">
        <v>37.1</v>
      </c>
      <c r="I36" s="245" t="n">
        <v>95</v>
      </c>
      <c r="J36" s="71" t="inlineStr">
        <is>
          <t>蔣承翰</t>
        </is>
      </c>
      <c r="K36" s="96" t="inlineStr">
        <is>
          <t>alpha noise (個股無系統性原因)</t>
        </is>
      </c>
    </row>
    <row r="37">
      <c r="B37" s="77" t="inlineStr">
        <is>
          <t>2026/07/22</t>
        </is>
      </c>
      <c r="C37" s="77" t="inlineStr">
        <is>
          <t>07/23</t>
        </is>
      </c>
      <c r="D37" s="77" t="inlineStr">
        <is>
          <t>南茂(8150)</t>
        </is>
      </c>
      <c r="E37" s="239" t="n">
        <v>-1.8</v>
      </c>
      <c r="F37" s="247" t="n">
        <v>0.06</v>
      </c>
      <c r="G37" s="248" t="n">
        <v>-1.86</v>
      </c>
      <c r="H37" s="244" t="n">
        <v>22.3</v>
      </c>
      <c r="I37" s="245" t="n">
        <v>95</v>
      </c>
      <c r="J37" s="71" t="inlineStr">
        <is>
          <t>蔣承翰</t>
        </is>
      </c>
      <c r="K37" s="96" t="inlineStr">
        <is>
          <t>alpha noise (個股無系統性原因)</t>
        </is>
      </c>
    </row>
    <row r="38">
      <c r="B38" s="77" t="inlineStr">
        <is>
          <t>2026/07/22</t>
        </is>
      </c>
      <c r="C38" s="77" t="inlineStr">
        <is>
          <t>07/23</t>
        </is>
      </c>
      <c r="D38" s="77" t="inlineStr">
        <is>
          <t>中纖(1718)</t>
        </is>
      </c>
      <c r="E38" s="239" t="n">
        <v>-8.1</v>
      </c>
      <c r="F38" s="247" t="n">
        <v>0.06</v>
      </c>
      <c r="G38" s="248" t="n">
        <v>-8.16</v>
      </c>
      <c r="H38" s="244" t="n">
        <v>19.6</v>
      </c>
      <c r="I38" s="245" t="n">
        <v>95</v>
      </c>
      <c r="J38" s="71" t="inlineStr">
        <is>
          <t>蔣承翰</t>
        </is>
      </c>
      <c r="K38" s="96" t="inlineStr">
        <is>
          <t>個股弱勢 (跑輸大盤 &gt;2pp)</t>
        </is>
      </c>
    </row>
    <row r="39">
      <c r="B39" s="77" t="inlineStr">
        <is>
          <t>2026/07/22</t>
        </is>
      </c>
      <c r="C39" s="77" t="inlineStr">
        <is>
          <t>07/23</t>
        </is>
      </c>
      <c r="D39" s="77" t="inlineStr">
        <is>
          <t>合晶(6182)</t>
        </is>
      </c>
      <c r="E39" s="239" t="n">
        <v>-1.94</v>
      </c>
      <c r="F39" s="247" t="n">
        <v>0.06</v>
      </c>
      <c r="G39" s="248" t="n">
        <v>-2</v>
      </c>
      <c r="H39" s="246" t="n">
        <v>68.5</v>
      </c>
      <c r="I39" s="245" t="n">
        <v>95</v>
      </c>
      <c r="J39" s="71" t="inlineStr">
        <is>
          <t>蔣承翰</t>
        </is>
      </c>
      <c r="K39" s="96" t="inlineStr">
        <is>
          <t>假共識 (領頭獨佔 ≥50%) | 個股弱勢 (跑輸大盤 &gt;2pp)</t>
        </is>
      </c>
    </row>
    <row r="40">
      <c r="B40" s="77" t="inlineStr">
        <is>
          <t>2026/07/15</t>
        </is>
      </c>
      <c r="C40" s="77" t="inlineStr">
        <is>
          <t>07/16</t>
        </is>
      </c>
      <c r="D40" s="77" t="inlineStr">
        <is>
          <t>臻鼎-KY(4958)</t>
        </is>
      </c>
      <c r="E40" s="239" t="n">
        <v>-6.47</v>
      </c>
      <c r="F40" s="247" t="n">
        <v>-0.01</v>
      </c>
      <c r="G40" s="248" t="n">
        <v>-6.46</v>
      </c>
      <c r="H40" s="244" t="n">
        <v>18.1</v>
      </c>
      <c r="I40" s="245" t="n">
        <v>95</v>
      </c>
      <c r="J40" s="71" t="inlineStr">
        <is>
          <t>蔣承翰</t>
        </is>
      </c>
      <c r="K40" s="96" t="inlineStr">
        <is>
          <t>個股弱勢 (跑輸大盤 &gt;2pp)</t>
        </is>
      </c>
    </row>
    <row r="41">
      <c r="B41" s="77" t="inlineStr">
        <is>
          <t>2026/07/15</t>
        </is>
      </c>
      <c r="C41" s="77" t="inlineStr">
        <is>
          <t>07/16</t>
        </is>
      </c>
      <c r="D41" s="77" t="inlineStr">
        <is>
          <t>合晶(6182)</t>
        </is>
      </c>
      <c r="E41" s="239" t="n">
        <v>-7.52</v>
      </c>
      <c r="F41" s="247" t="n">
        <v>-0.01</v>
      </c>
      <c r="G41" s="248" t="n">
        <v>-7.51</v>
      </c>
      <c r="H41" s="244" t="n">
        <v>29.8</v>
      </c>
      <c r="I41" s="245" t="n">
        <v>95</v>
      </c>
      <c r="J41" s="71" t="inlineStr">
        <is>
          <t>蔣承翰</t>
        </is>
      </c>
      <c r="K41" s="96" t="inlineStr">
        <is>
          <t>個股弱勢 (跑輸大盤 &gt;2pp)</t>
        </is>
      </c>
    </row>
    <row r="42">
      <c r="B42" s="77" t="inlineStr">
        <is>
          <t>2026/07/15</t>
        </is>
      </c>
      <c r="C42" s="77" t="inlineStr">
        <is>
          <t>07/16</t>
        </is>
      </c>
      <c r="D42" s="77" t="inlineStr">
        <is>
          <t>聯電(2303)</t>
        </is>
      </c>
      <c r="E42" s="239" t="n">
        <v>-3.61</v>
      </c>
      <c r="F42" s="247" t="n">
        <v>-0.01</v>
      </c>
      <c r="G42" s="248" t="n">
        <v>-3.6</v>
      </c>
      <c r="H42" s="244" t="n">
        <v>32.3</v>
      </c>
      <c r="I42" s="245" t="n">
        <v>95</v>
      </c>
      <c r="J42" s="71" t="inlineStr">
        <is>
          <t>蔣承翰</t>
        </is>
      </c>
      <c r="K42" s="96" t="inlineStr">
        <is>
          <t>個股弱勢 (跑輸大盤 &gt;2pp)</t>
        </is>
      </c>
    </row>
    <row r="43">
      <c r="B43" s="77" t="inlineStr">
        <is>
          <t>2026/07/15</t>
        </is>
      </c>
      <c r="C43" s="77" t="inlineStr">
        <is>
          <t>07/16</t>
        </is>
      </c>
      <c r="D43" s="77" t="inlineStr">
        <is>
          <t>環球晶(6488)</t>
        </is>
      </c>
      <c r="E43" s="239" t="n">
        <v>-7.12</v>
      </c>
      <c r="F43" s="247" t="n">
        <v>-0.01</v>
      </c>
      <c r="G43" s="248" t="n">
        <v>-7.11</v>
      </c>
      <c r="H43" s="244" t="n">
        <v>47.8</v>
      </c>
      <c r="I43" s="245" t="n">
        <v>95</v>
      </c>
      <c r="J43" s="71" t="inlineStr">
        <is>
          <t>蔣承翰</t>
        </is>
      </c>
      <c r="K43" s="96" t="inlineStr">
        <is>
          <t>個股弱勢 (跑輸大盤 &gt;2pp)</t>
        </is>
      </c>
    </row>
    <row r="44">
      <c r="B44" s="77" t="inlineStr">
        <is>
          <t>2026/07/15</t>
        </is>
      </c>
      <c r="C44" s="77" t="inlineStr">
        <is>
          <t>07/16</t>
        </is>
      </c>
      <c r="D44" s="77" t="inlineStr">
        <is>
          <t>中信金(2891)</t>
        </is>
      </c>
      <c r="E44" s="239" t="n">
        <v>-0.79</v>
      </c>
      <c r="F44" s="247" t="n">
        <v>-0.01</v>
      </c>
      <c r="G44" s="248" t="n">
        <v>-0.78</v>
      </c>
      <c r="H44" s="244" t="n">
        <v>17.7</v>
      </c>
      <c r="I44" s="245" t="n">
        <v>95</v>
      </c>
      <c r="J44" s="71" t="inlineStr">
        <is>
          <t>蔣承翰</t>
        </is>
      </c>
      <c r="K44" s="96" t="inlineStr">
        <is>
          <t>alpha noise (個股無系統性原因)</t>
        </is>
      </c>
    </row>
    <row r="45">
      <c r="B45" s="77" t="inlineStr">
        <is>
          <t>2026/07/15</t>
        </is>
      </c>
      <c r="C45" s="77" t="inlineStr">
        <is>
          <t>07/16</t>
        </is>
      </c>
      <c r="D45" s="77" t="inlineStr">
        <is>
          <t>南亞(1303)</t>
        </is>
      </c>
      <c r="E45" s="239" t="n">
        <v>-2.86</v>
      </c>
      <c r="F45" s="247" t="n">
        <v>-0.01</v>
      </c>
      <c r="G45" s="248" t="n">
        <v>-2.85</v>
      </c>
      <c r="H45" s="246" t="n">
        <v>57.49999999999999</v>
      </c>
      <c r="I45" s="245" t="n">
        <v>95</v>
      </c>
      <c r="J45" s="71" t="inlineStr">
        <is>
          <t>蔣承翰</t>
        </is>
      </c>
      <c r="K45" s="96" t="inlineStr">
        <is>
          <t>假共識 (領頭獨佔 ≥50%) | 個股弱勢 (跑輸大盤 &gt;2pp)</t>
        </is>
      </c>
    </row>
    <row r="46">
      <c r="B46" s="77" t="inlineStr">
        <is>
          <t>2026/07/15</t>
        </is>
      </c>
      <c r="C46" s="77" t="inlineStr">
        <is>
          <t>07/16</t>
        </is>
      </c>
      <c r="D46" s="77" t="inlineStr">
        <is>
          <t>聯發科(2454)</t>
        </is>
      </c>
      <c r="E46" s="239" t="n">
        <v>-1.07</v>
      </c>
      <c r="F46" s="247" t="n">
        <v>-0.01</v>
      </c>
      <c r="G46" s="248" t="n">
        <v>-1.06</v>
      </c>
      <c r="H46" s="246" t="n">
        <v>79</v>
      </c>
      <c r="I46" s="245" t="n">
        <v>95</v>
      </c>
      <c r="J46" s="71" t="inlineStr">
        <is>
          <t>蔣承翰</t>
        </is>
      </c>
      <c r="K46" s="96" t="inlineStr">
        <is>
          <t>假共識 (領頭獨佔 ≥50%)</t>
        </is>
      </c>
    </row>
    <row r="47">
      <c r="B47" s="77" t="inlineStr">
        <is>
          <t>2026/07/15</t>
        </is>
      </c>
      <c r="C47" s="77" t="inlineStr">
        <is>
          <t>07/16</t>
        </is>
      </c>
      <c r="D47" s="77" t="inlineStr">
        <is>
          <t>聯茂(6213)</t>
        </is>
      </c>
      <c r="E47" s="239" t="n">
        <v>-2.99</v>
      </c>
      <c r="F47" s="247" t="n">
        <v>-0.01</v>
      </c>
      <c r="G47" s="248" t="n">
        <v>-2.98</v>
      </c>
      <c r="H47" s="244" t="n">
        <v>43.6</v>
      </c>
      <c r="I47" s="245" t="n">
        <v>95</v>
      </c>
      <c r="J47" s="71" t="inlineStr">
        <is>
          <t>蔣承翰</t>
        </is>
      </c>
      <c r="K47" s="96" t="inlineStr">
        <is>
          <t>個股弱勢 (跑輸大盤 &gt;2pp)</t>
        </is>
      </c>
    </row>
    <row r="50" ht="60" customHeight="1">
      <c r="B50" s="90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115/115 交易日出手 5511 次 (698 檔), 風格分布: 隔日沖近似 36% / 當沖 12% / 留倉 51%, 漲停命中 2% (其中 🔒鎖漲停 3%), 前 5 大集中 18%, 長線部位 81% (117 檔), ⚠️ 處置股部位 5% (28 檔), 📦 連續囤貨 62 檔 (最長 17 天 00918, 1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9" t="inlineStr">
        <is>
          <t>#</t>
        </is>
      </c>
      <c r="C11" s="59" t="inlineStr">
        <is>
          <t>代號</t>
        </is>
      </c>
      <c r="D11" s="59" t="inlineStr">
        <is>
          <t>股名</t>
        </is>
      </c>
      <c r="E11" s="59" t="inlineStr">
        <is>
          <t>買金額(萬)</t>
        </is>
      </c>
      <c r="F11" s="59" t="inlineStr">
        <is>
          <t>買張</t>
        </is>
      </c>
      <c r="G11" s="59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10242</v>
      </c>
      <c r="F12" s="33" t="n">
        <v>0</v>
      </c>
      <c r="G12" s="275" t="n">
        <v>0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9456</v>
      </c>
      <c r="F13" s="33" t="n">
        <v>0</v>
      </c>
      <c r="G13" s="231" t="n">
        <v>0.0434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8038</v>
      </c>
      <c r="F14" s="33" t="n">
        <v>0</v>
      </c>
      <c r="G14" s="249" t="n">
        <v>-0.0557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8010</v>
      </c>
      <c r="F15" s="33" t="n">
        <v>0</v>
      </c>
      <c r="G15" s="249" t="n">
        <v>-0.0346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6401</v>
      </c>
      <c r="F16" s="33" t="n">
        <v>0</v>
      </c>
      <c r="G16" s="231" t="n">
        <v>0.07000000000000001</v>
      </c>
    </row>
    <row r="17">
      <c r="B17" t="n">
        <v>6</v>
      </c>
      <c r="C17" t="inlineStr">
        <is>
          <t>2492</t>
        </is>
      </c>
      <c r="D17" t="inlineStr">
        <is>
          <t>華新科</t>
        </is>
      </c>
      <c r="E17" s="33" t="n">
        <v>5377</v>
      </c>
      <c r="F17" s="33" t="n">
        <v>0</v>
      </c>
      <c r="G17" s="231" t="n">
        <v>0.0194</v>
      </c>
    </row>
    <row r="18">
      <c r="B18" t="n">
        <v>7</v>
      </c>
      <c r="C18" t="inlineStr">
        <is>
          <t>8039</t>
        </is>
      </c>
      <c r="D18" t="inlineStr">
        <is>
          <t>台虹</t>
        </is>
      </c>
      <c r="E18" s="33" t="n">
        <v>5151</v>
      </c>
      <c r="F18" s="33" t="n">
        <v>0</v>
      </c>
      <c r="G18" s="231" t="n">
        <v>0.0253</v>
      </c>
    </row>
    <row r="19">
      <c r="B19" t="n">
        <v>8</v>
      </c>
      <c r="C19" t="inlineStr">
        <is>
          <t>6672</t>
        </is>
      </c>
      <c r="D19" t="inlineStr">
        <is>
          <t>騰輝電子-KY</t>
        </is>
      </c>
      <c r="E19" s="33" t="n">
        <v>4149</v>
      </c>
      <c r="F19" s="33" t="n">
        <v>0</v>
      </c>
      <c r="G19" s="231" t="n">
        <v>0.0273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3944</v>
      </c>
      <c r="F20" s="33" t="n">
        <v>0</v>
      </c>
      <c r="G20" s="231" t="n">
        <v>0.0256</v>
      </c>
    </row>
    <row r="21">
      <c r="B21" t="n">
        <v>10</v>
      </c>
      <c r="C21" t="inlineStr">
        <is>
          <t>3042</t>
        </is>
      </c>
      <c r="D21" t="inlineStr">
        <is>
          <t>晶技</t>
        </is>
      </c>
      <c r="E21" s="33" t="n">
        <v>2673</v>
      </c>
      <c r="F21" s="33" t="n">
        <v>0</v>
      </c>
      <c r="G21" s="249" t="n">
        <v>-0.0369</v>
      </c>
    </row>
    <row r="24">
      <c r="B24" s="103" t="inlineStr">
        <is>
          <t>📦 大牌分析師 連續囤貨 (active)</t>
        </is>
      </c>
    </row>
    <row r="25">
      <c r="B25" s="59" t="inlineStr">
        <is>
          <t>#</t>
        </is>
      </c>
      <c r="C25" s="59" t="inlineStr">
        <is>
          <t>代號</t>
        </is>
      </c>
      <c r="D25" s="59" t="inlineStr">
        <is>
          <t>股名</t>
        </is>
      </c>
      <c r="E25" s="59" t="inlineStr">
        <is>
          <t>連續天數</t>
        </is>
      </c>
      <c r="F25" s="59" t="inlineStr">
        <is>
          <t>累計金額(萬)</t>
        </is>
      </c>
    </row>
    <row r="26">
      <c r="B26" s="105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250" t="inlineStr">
        <is>
          <t>⚠️ 部分 top-buyer highlight 缺 (10/17 = 58% success | 富邦=10 histock=0 | fail=7 stale=0 empty=0)</t>
        </is>
      </c>
      <c r="B1" s="251" t="n"/>
      <c r="C1" s="251" t="n"/>
      <c r="D1" s="251" t="n"/>
      <c r="E1" s="251" t="n"/>
      <c r="F1" s="251" t="n"/>
      <c r="G1" s="251" t="n"/>
      <c r="H1" s="251" t="n"/>
      <c r="I1" s="251" t="n"/>
      <c r="J1" s="251" t="n"/>
      <c r="K1" s="251" t="n"/>
      <c r="L1" s="251" t="n"/>
    </row>
    <row r="2" ht="16.5" customHeight="1">
      <c r="A2" s="106" t="inlineStr">
        <is>
          <t>高手</t>
        </is>
      </c>
      <c r="B2" s="106" t="inlineStr">
        <is>
          <t>分點</t>
        </is>
      </c>
      <c r="C2" s="106" t="inlineStr">
        <is>
          <t>代號</t>
        </is>
      </c>
      <c r="D2" s="106" t="inlineStr">
        <is>
          <t>標的</t>
        </is>
      </c>
      <c r="E2" s="106" t="inlineStr">
        <is>
          <t>買進(張)</t>
        </is>
      </c>
      <c r="F2" s="106" t="inlineStr">
        <is>
          <t>賣出(張)</t>
        </is>
      </c>
      <c r="G2" s="106" t="inlineStr">
        <is>
          <t>買進(萬元)</t>
        </is>
      </c>
      <c r="H2" s="106" t="inlineStr">
        <is>
          <t>賣出(萬元)</t>
        </is>
      </c>
      <c r="I2" s="106" t="inlineStr">
        <is>
          <t>淨買差(萬元)</t>
        </is>
      </c>
      <c r="J2" s="106" t="inlineStr">
        <is>
          <t>買均</t>
        </is>
      </c>
      <c r="K2" s="106" t="inlineStr">
        <is>
          <t>賣均</t>
        </is>
      </c>
      <c r="L2" s="106" t="inlineStr">
        <is>
          <t>損益(萬)</t>
        </is>
      </c>
    </row>
    <row r="3" ht="16.5" customHeight="1">
      <c r="A3" s="107" t="inlineStr">
        <is>
          <t>民哥</t>
        </is>
      </c>
      <c r="B3" s="108" t="inlineStr">
        <is>
          <t>台新-五權西</t>
        </is>
      </c>
      <c r="C3" s="108" t="inlineStr">
        <is>
          <t>9B25</t>
        </is>
      </c>
      <c r="D3" s="109" t="inlineStr">
        <is>
          <t>聯發科(2454)</t>
        </is>
      </c>
      <c r="E3" s="110" t="n">
        <v>24</v>
      </c>
      <c r="F3" s="110" t="n">
        <v>13</v>
      </c>
      <c r="G3" s="110" t="n">
        <v>12133</v>
      </c>
      <c r="H3" s="110" t="n">
        <v>6636</v>
      </c>
      <c r="I3" s="110" t="n">
        <v>5497</v>
      </c>
      <c r="J3" s="111" t="n">
        <v>5055.29</v>
      </c>
      <c r="K3" s="111" t="n">
        <v>5104.92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金像電(2368)</t>
        </is>
      </c>
      <c r="E4" s="110" t="n">
        <v>60</v>
      </c>
      <c r="F4" s="110" t="n">
        <v>1</v>
      </c>
      <c r="G4" s="110" t="n">
        <v>7190</v>
      </c>
      <c r="H4" s="110" t="n">
        <v>176</v>
      </c>
      <c r="I4" s="110" t="n">
        <v>7014</v>
      </c>
      <c r="J4" s="111" t="n">
        <v>1198.33</v>
      </c>
      <c r="K4" s="111" t="n">
        <v>1761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台燿(6274)</t>
        </is>
      </c>
      <c r="E5" s="110" t="n">
        <v>32</v>
      </c>
      <c r="F5" s="110" t="n">
        <v>3</v>
      </c>
      <c r="G5" s="110" t="n">
        <v>5475</v>
      </c>
      <c r="H5" s="110" t="n">
        <v>464</v>
      </c>
      <c r="I5" s="110" t="n">
        <v>5011</v>
      </c>
      <c r="J5" s="111" t="n">
        <v>1710.91</v>
      </c>
      <c r="K5" s="111" t="n">
        <v>1547.67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315</v>
      </c>
      <c r="F6" s="110" t="n">
        <v>28</v>
      </c>
      <c r="G6" s="110" t="n">
        <v>4922</v>
      </c>
      <c r="H6" s="110" t="n">
        <v>441</v>
      </c>
      <c r="I6" s="110" t="n">
        <v>4481</v>
      </c>
      <c r="J6" s="111" t="n">
        <v>156.25</v>
      </c>
      <c r="K6" s="111" t="n">
        <v>157.54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南亞(1303)</t>
        </is>
      </c>
      <c r="E7" s="110" t="n">
        <v>168</v>
      </c>
      <c r="F7" s="110" t="n">
        <v>37</v>
      </c>
      <c r="G7" s="110" t="n">
        <v>4735</v>
      </c>
      <c r="H7" s="110" t="n">
        <v>1035</v>
      </c>
      <c r="I7" s="110" t="n">
        <v>3700</v>
      </c>
      <c r="J7" s="111" t="n">
        <v>281.86</v>
      </c>
      <c r="K7" s="111" t="n">
        <v>279.65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穩懋(3105)</t>
        </is>
      </c>
      <c r="E8" s="110" t="n">
        <v>75</v>
      </c>
      <c r="F8" s="110" t="n">
        <v>42</v>
      </c>
      <c r="G8" s="110" t="n">
        <v>4638</v>
      </c>
      <c r="H8" s="110" t="n">
        <v>2561</v>
      </c>
      <c r="I8" s="110" t="n">
        <v>2077</v>
      </c>
      <c r="J8" s="111" t="n">
        <v>618.41</v>
      </c>
      <c r="K8" s="111" t="n">
        <v>609.8099999999999</v>
      </c>
      <c r="L8" s="254">
        <f>F8*(K8-J8)</f>
        <v/>
      </c>
    </row>
    <row r="9" ht="16.5" customHeight="1">
      <c r="A9" s="113" t="n"/>
      <c r="B9" s="113" t="n"/>
      <c r="C9" s="113" t="n"/>
      <c r="D9" s="109" t="inlineStr">
        <is>
          <t>國巨*(2327)</t>
        </is>
      </c>
      <c r="E9" s="110" t="n">
        <v>55</v>
      </c>
      <c r="F9" s="110" t="n">
        <v>25</v>
      </c>
      <c r="G9" s="110" t="n">
        <v>3497</v>
      </c>
      <c r="H9" s="110" t="n">
        <v>1614</v>
      </c>
      <c r="I9" s="110" t="n">
        <v>1883</v>
      </c>
      <c r="J9" s="111" t="n">
        <v>635.8</v>
      </c>
      <c r="K9" s="111" t="n">
        <v>645.6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台虹(8039)</t>
        </is>
      </c>
      <c r="E10" s="110" t="n">
        <v>70</v>
      </c>
      <c r="F10" s="110" t="n">
        <v>10</v>
      </c>
      <c r="G10" s="110" t="n">
        <v>2085</v>
      </c>
      <c r="H10" s="110" t="n">
        <v>303</v>
      </c>
      <c r="I10" s="110" t="n">
        <v>1782</v>
      </c>
      <c r="J10" s="111" t="n">
        <v>297.86</v>
      </c>
      <c r="K10" s="111" t="n">
        <v>303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聯茂(6213)</t>
        </is>
      </c>
      <c r="E11" s="110" t="n">
        <v>27</v>
      </c>
      <c r="F11" s="110" t="n">
        <v>1</v>
      </c>
      <c r="G11" s="110" t="n">
        <v>2022</v>
      </c>
      <c r="H11" s="110" t="n">
        <v>94</v>
      </c>
      <c r="I11" s="110" t="n">
        <v>1928</v>
      </c>
      <c r="J11" s="111" t="n">
        <v>748.78</v>
      </c>
      <c r="K11" s="111" t="n">
        <v>935</v>
      </c>
      <c r="L11" s="253">
        <f>F11*(K11-J11)</f>
        <v/>
      </c>
    </row>
    <row r="12" ht="16.5" customHeight="1">
      <c r="A12" s="113" t="n"/>
      <c r="B12" s="113" t="n"/>
      <c r="C12" s="113" t="n"/>
      <c r="D12" s="109" t="inlineStr">
        <is>
          <t>臻鼎-KY(4958)</t>
        </is>
      </c>
      <c r="E12" s="110" t="n">
        <v>32</v>
      </c>
      <c r="F12" s="110" t="n">
        <v>25</v>
      </c>
      <c r="G12" s="110" t="n">
        <v>1835</v>
      </c>
      <c r="H12" s="110" t="n">
        <v>1413</v>
      </c>
      <c r="I12" s="110" t="n">
        <v>422</v>
      </c>
      <c r="J12" s="111" t="n">
        <v>573.5599999999999</v>
      </c>
      <c r="K12" s="111" t="n">
        <v>565.36</v>
      </c>
      <c r="L12" s="254">
        <f>F12*(K12-J12)</f>
        <v/>
      </c>
    </row>
    <row r="13" ht="16.5" customHeight="1">
      <c r="A13" s="114" t="n"/>
      <c r="B13" s="106" t="inlineStr">
        <is>
          <t>分點</t>
        </is>
      </c>
      <c r="C13" s="106" t="inlineStr">
        <is>
          <t>代號</t>
        </is>
      </c>
      <c r="D13" s="106" t="inlineStr">
        <is>
          <t>標的</t>
        </is>
      </c>
      <c r="E13" s="106" t="inlineStr">
        <is>
          <t>買進(張)</t>
        </is>
      </c>
      <c r="F13" s="106" t="inlineStr">
        <is>
          <t>賣出(張)</t>
        </is>
      </c>
      <c r="G13" s="106" t="inlineStr">
        <is>
          <t>買進(萬元)</t>
        </is>
      </c>
      <c r="H13" s="106" t="inlineStr">
        <is>
          <t>賣出(萬元)</t>
        </is>
      </c>
      <c r="I13" s="106" t="inlineStr">
        <is>
          <t>淨買差(萬元)</t>
        </is>
      </c>
      <c r="J13" s="106" t="inlineStr">
        <is>
          <t>買均</t>
        </is>
      </c>
      <c r="K13" s="106" t="inlineStr">
        <is>
          <t>賣均</t>
        </is>
      </c>
      <c r="L13" s="106" t="inlineStr">
        <is>
          <t>損益(萬)</t>
        </is>
      </c>
    </row>
    <row r="14" ht="16.5" customHeight="1">
      <c r="A14" s="113" t="n"/>
      <c r="B14" s="108" t="inlineStr">
        <is>
          <t>富邦-南屯</t>
        </is>
      </c>
      <c r="C14" s="108" t="inlineStr">
        <is>
          <t>9666</t>
        </is>
      </c>
      <c r="D14" s="109" t="inlineStr">
        <is>
          <t>金居(8358)</t>
        </is>
      </c>
      <c r="E14" s="110" t="n">
        <v>460</v>
      </c>
      <c r="F14" s="110" t="n">
        <v>196</v>
      </c>
      <c r="G14" s="110" t="n">
        <v>26191</v>
      </c>
      <c r="H14" s="110" t="n">
        <v>10994</v>
      </c>
      <c r="I14" s="110" t="n">
        <v>15197</v>
      </c>
      <c r="J14" s="111" t="n">
        <v>569.37</v>
      </c>
      <c r="K14" s="111" t="n">
        <v>560.9400000000001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南亞(1303)</t>
        </is>
      </c>
      <c r="E15" s="110" t="n">
        <v>536</v>
      </c>
      <c r="F15" s="110" t="n">
        <v>120</v>
      </c>
      <c r="G15" s="110" t="n">
        <v>15278</v>
      </c>
      <c r="H15" s="110" t="n">
        <v>3358</v>
      </c>
      <c r="I15" s="110" t="n">
        <v>11920</v>
      </c>
      <c r="J15" s="111" t="n">
        <v>285.05</v>
      </c>
      <c r="K15" s="111" t="n">
        <v>279.86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創意(3443)</t>
        </is>
      </c>
      <c r="E16" s="110" t="n">
        <v>15</v>
      </c>
      <c r="F16" s="110" t="n">
        <v>5</v>
      </c>
      <c r="G16" s="110" t="n">
        <v>12862</v>
      </c>
      <c r="H16" s="110" t="n">
        <v>4437</v>
      </c>
      <c r="I16" s="110" t="n">
        <v>8425</v>
      </c>
      <c r="J16" s="111" t="n">
        <v>8574.799999999999</v>
      </c>
      <c r="K16" s="111" t="n">
        <v>8873.6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帆宣(6196)</t>
        </is>
      </c>
      <c r="E17" s="110" t="n">
        <v>152</v>
      </c>
      <c r="F17" s="110" t="n">
        <v>2</v>
      </c>
      <c r="G17" s="110" t="n">
        <v>10314</v>
      </c>
      <c r="H17" s="110" t="n">
        <v>144</v>
      </c>
      <c r="I17" s="110" t="n">
        <v>10170</v>
      </c>
      <c r="J17" s="111" t="n">
        <v>678.59</v>
      </c>
      <c r="K17" s="111" t="n">
        <v>719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台燿(6274)</t>
        </is>
      </c>
      <c r="E18" s="110" t="n">
        <v>53</v>
      </c>
      <c r="F18" s="110" t="n">
        <v>12</v>
      </c>
      <c r="G18" s="110" t="n">
        <v>9423</v>
      </c>
      <c r="H18" s="110" t="n">
        <v>2060</v>
      </c>
      <c r="I18" s="110" t="n">
        <v>7363</v>
      </c>
      <c r="J18" s="111" t="n">
        <v>1777.96</v>
      </c>
      <c r="K18" s="111" t="n">
        <v>1716.75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昇達科(3491)</t>
        </is>
      </c>
      <c r="E19" s="110" t="n">
        <v>50</v>
      </c>
      <c r="F19" s="110" t="n">
        <v>4</v>
      </c>
      <c r="G19" s="110" t="n">
        <v>8158</v>
      </c>
      <c r="H19" s="110" t="n">
        <v>571</v>
      </c>
      <c r="I19" s="110" t="n">
        <v>7587</v>
      </c>
      <c r="J19" s="111" t="n">
        <v>1631.66</v>
      </c>
      <c r="K19" s="111" t="n">
        <v>1426.5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富鼎(8261)</t>
        </is>
      </c>
      <c r="E20" s="110" t="n">
        <v>299</v>
      </c>
      <c r="F20" s="110" t="n">
        <v>12</v>
      </c>
      <c r="G20" s="110" t="n">
        <v>6119</v>
      </c>
      <c r="H20" s="110" t="n">
        <v>242</v>
      </c>
      <c r="I20" s="110" t="n">
        <v>5877</v>
      </c>
      <c r="J20" s="111" t="n">
        <v>204.66</v>
      </c>
      <c r="K20" s="111" t="n">
        <v>201.83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禾伸堂(3026)</t>
        </is>
      </c>
      <c r="E21" s="110" t="n">
        <v>26</v>
      </c>
      <c r="F21" s="110" t="n">
        <v>2</v>
      </c>
      <c r="G21" s="110" t="n">
        <v>2137</v>
      </c>
      <c r="H21" s="110" t="n">
        <v>205</v>
      </c>
      <c r="I21" s="110" t="n">
        <v>1932</v>
      </c>
      <c r="J21" s="111" t="n">
        <v>821.96</v>
      </c>
      <c r="K21" s="111" t="n">
        <v>1024.5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光頡(3624)</t>
        </is>
      </c>
      <c r="E22" s="110" t="n">
        <v>127</v>
      </c>
      <c r="F22" s="110" t="n">
        <v>20</v>
      </c>
      <c r="G22" s="110" t="n">
        <v>1908</v>
      </c>
      <c r="H22" s="110" t="n">
        <v>300</v>
      </c>
      <c r="I22" s="110" t="n">
        <v>1608</v>
      </c>
      <c r="J22" s="111" t="n">
        <v>150.24</v>
      </c>
      <c r="K22" s="111" t="n">
        <v>149.85</v>
      </c>
      <c r="L22" s="254">
        <f>F22*(K22-J22)</f>
        <v/>
      </c>
    </row>
    <row r="23" ht="16.5" customHeight="1">
      <c r="A23" s="113" t="n"/>
      <c r="B23" s="113" t="n"/>
      <c r="C23" s="113" t="n"/>
      <c r="D23" s="109" t="inlineStr">
        <is>
          <t>柏騰(3518)</t>
        </is>
      </c>
      <c r="E23" s="110" t="n">
        <v>302</v>
      </c>
      <c r="F23" s="110" t="n">
        <v>2</v>
      </c>
      <c r="G23" s="110" t="n">
        <v>1472</v>
      </c>
      <c r="H23" s="110" t="n">
        <v>10</v>
      </c>
      <c r="I23" s="110" t="n">
        <v>1462</v>
      </c>
      <c r="J23" s="111" t="n">
        <v>48.75</v>
      </c>
      <c r="K23" s="111" t="n">
        <v>47.5</v>
      </c>
      <c r="L23" s="254">
        <f>F23*(K23-J23)</f>
        <v/>
      </c>
    </row>
    <row r="24" ht="16.5" customHeight="1">
      <c r="A24" s="114" t="n"/>
      <c r="B24" s="106" t="inlineStr">
        <is>
          <t>分點</t>
        </is>
      </c>
      <c r="C24" s="106" t="inlineStr">
        <is>
          <t>代號</t>
        </is>
      </c>
      <c r="D24" s="106" t="inlineStr">
        <is>
          <t>標的</t>
        </is>
      </c>
      <c r="E24" s="106" t="inlineStr">
        <is>
          <t>買進(張)</t>
        </is>
      </c>
      <c r="F24" s="106" t="inlineStr">
        <is>
          <t>賣出(張)</t>
        </is>
      </c>
      <c r="G24" s="106" t="inlineStr">
        <is>
          <t>買進(萬元)</t>
        </is>
      </c>
      <c r="H24" s="106" t="inlineStr">
        <is>
          <t>賣出(萬元)</t>
        </is>
      </c>
      <c r="I24" s="106" t="inlineStr">
        <is>
          <t>淨買差(萬元)</t>
        </is>
      </c>
      <c r="J24" s="106" t="inlineStr">
        <is>
          <t>買均</t>
        </is>
      </c>
      <c r="K24" s="106" t="inlineStr">
        <is>
          <t>賣均</t>
        </is>
      </c>
      <c r="L24" s="106" t="inlineStr">
        <is>
          <t>損益(萬)</t>
        </is>
      </c>
    </row>
    <row r="25" ht="16.5" customHeight="1">
      <c r="A25" s="113" t="n"/>
      <c r="B25" s="108" t="inlineStr">
        <is>
          <t>國票-彰化</t>
        </is>
      </c>
      <c r="C25" s="108" t="inlineStr">
        <is>
          <t>779W</t>
        </is>
      </c>
      <c r="D25" s="109" t="inlineStr">
        <is>
          <t>力積電(6770)</t>
        </is>
      </c>
      <c r="E25" s="110" t="n">
        <v>190</v>
      </c>
      <c r="F25" s="110" t="n">
        <v>30</v>
      </c>
      <c r="G25" s="110" t="n">
        <v>1442</v>
      </c>
      <c r="H25" s="110" t="n">
        <v>227</v>
      </c>
      <c r="I25" s="110" t="n">
        <v>1215</v>
      </c>
      <c r="J25" s="111" t="n">
        <v>75.92</v>
      </c>
      <c r="K25" s="111" t="n">
        <v>75.56999999999999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華新科(2492)</t>
        </is>
      </c>
      <c r="E26" s="110" t="n">
        <v>22</v>
      </c>
      <c r="F26" s="110" t="n">
        <v>15</v>
      </c>
      <c r="G26" s="110" t="n">
        <v>838</v>
      </c>
      <c r="H26" s="110" t="n">
        <v>566</v>
      </c>
      <c r="I26" s="110" t="n">
        <v>272</v>
      </c>
      <c r="J26" s="111" t="n">
        <v>380.68</v>
      </c>
      <c r="K26" s="111" t="n">
        <v>377.67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聯電(2303)</t>
        </is>
      </c>
      <c r="E27" s="110" t="n">
        <v>50</v>
      </c>
      <c r="F27" s="110" t="n">
        <v>26</v>
      </c>
      <c r="G27" s="110" t="n">
        <v>782</v>
      </c>
      <c r="H27" s="110" t="n">
        <v>407</v>
      </c>
      <c r="I27" s="110" t="n">
        <v>375</v>
      </c>
      <c r="J27" s="111" t="n">
        <v>156.48</v>
      </c>
      <c r="K27" s="111" t="n">
        <v>156.38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旺矽(6223)</t>
        </is>
      </c>
      <c r="E28" s="110" t="n">
        <v>1</v>
      </c>
      <c r="F28" s="110" t="n">
        <v>1</v>
      </c>
      <c r="G28" s="110" t="n">
        <v>550</v>
      </c>
      <c r="H28" s="110" t="n">
        <v>16</v>
      </c>
      <c r="I28" s="110" t="n">
        <v>534</v>
      </c>
      <c r="J28" s="111" t="n">
        <v>5500</v>
      </c>
      <c r="K28" s="111" t="n">
        <v>161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禾伸堂(3026)</t>
        </is>
      </c>
      <c r="E29" s="110" t="n">
        <v>6</v>
      </c>
      <c r="F29" s="110" t="n">
        <v>5</v>
      </c>
      <c r="G29" s="110" t="n">
        <v>506</v>
      </c>
      <c r="H29" s="110" t="n">
        <v>411</v>
      </c>
      <c r="I29" s="110" t="n">
        <v>95</v>
      </c>
      <c r="J29" s="111" t="n">
        <v>842.67</v>
      </c>
      <c r="K29" s="111" t="n">
        <v>821.8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緯穎(6669)</t>
        </is>
      </c>
      <c r="E30" s="110" t="n">
        <v>2</v>
      </c>
      <c r="F30" s="110" t="n">
        <v>1</v>
      </c>
      <c r="G30" s="110" t="n">
        <v>487</v>
      </c>
      <c r="H30" s="110" t="n">
        <v>11</v>
      </c>
      <c r="I30" s="110" t="n">
        <v>476</v>
      </c>
      <c r="J30" s="111" t="n">
        <v>2436.5</v>
      </c>
      <c r="K30" s="111" t="n">
        <v>108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友達(2409)</t>
        </is>
      </c>
      <c r="E31" s="110" t="n">
        <v>104</v>
      </c>
      <c r="F31" s="110" t="n">
        <v>68</v>
      </c>
      <c r="G31" s="110" t="n">
        <v>422</v>
      </c>
      <c r="H31" s="110" t="n">
        <v>277</v>
      </c>
      <c r="I31" s="110" t="n">
        <v>145</v>
      </c>
      <c r="J31" s="111" t="n">
        <v>40.62</v>
      </c>
      <c r="K31" s="111" t="n">
        <v>40.72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榮科(4989)</t>
        </is>
      </c>
      <c r="E32" s="110" t="n">
        <v>45</v>
      </c>
      <c r="F32" s="110" t="n">
        <v>20</v>
      </c>
      <c r="G32" s="110" t="n">
        <v>313</v>
      </c>
      <c r="H32" s="110" t="n">
        <v>137</v>
      </c>
      <c r="I32" s="110" t="n">
        <v>176</v>
      </c>
      <c r="J32" s="111" t="n">
        <v>69.56</v>
      </c>
      <c r="K32" s="111" t="n">
        <v>68.45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聯亞(3081)</t>
        </is>
      </c>
      <c r="E33" s="110" t="n">
        <v>1</v>
      </c>
      <c r="F33" s="110" t="n">
        <v>0</v>
      </c>
      <c r="G33" s="110" t="n">
        <v>296</v>
      </c>
      <c r="H33" s="110" t="n">
        <v>0</v>
      </c>
      <c r="I33" s="110" t="n">
        <v>296</v>
      </c>
      <c r="J33" s="111" t="n">
        <v>2955</v>
      </c>
      <c r="K33" s="111" t="n">
        <v>0</v>
      </c>
      <c r="L33" s="253">
        <f>F33*(K33-J33)</f>
        <v/>
      </c>
    </row>
    <row r="34" ht="16.5" customHeight="1">
      <c r="A34" s="113" t="n"/>
      <c r="B34" s="113" t="n"/>
      <c r="C34" s="113" t="n"/>
      <c r="D34" s="109" t="inlineStr">
        <is>
          <t>南亞科(2408)</t>
        </is>
      </c>
      <c r="E34" s="110" t="n">
        <v>5</v>
      </c>
      <c r="F34" s="110" t="n">
        <v>2</v>
      </c>
      <c r="G34" s="110" t="n">
        <v>260</v>
      </c>
      <c r="H34" s="110" t="n">
        <v>111</v>
      </c>
      <c r="I34" s="110" t="n">
        <v>149</v>
      </c>
      <c r="J34" s="111" t="n">
        <v>519.8</v>
      </c>
      <c r="K34" s="111" t="n">
        <v>555.5</v>
      </c>
      <c r="L34" s="253">
        <f>F34*(K34-J34)</f>
        <v/>
      </c>
    </row>
    <row r="35" ht="16.5" customHeight="1">
      <c r="A35" s="115" t="inlineStr">
        <is>
          <t>高手</t>
        </is>
      </c>
      <c r="B35" s="115" t="inlineStr">
        <is>
          <t>常下分點</t>
        </is>
      </c>
      <c r="C35" s="115" t="inlineStr">
        <is>
          <t>分點代號</t>
        </is>
      </c>
      <c r="D35" s="115" t="inlineStr">
        <is>
          <t>標的</t>
        </is>
      </c>
      <c r="E35" s="115" t="inlineStr">
        <is>
          <t>買進(張)</t>
        </is>
      </c>
      <c r="F35" s="115" t="inlineStr">
        <is>
          <t>賣出(張)</t>
        </is>
      </c>
      <c r="G35" s="115" t="inlineStr">
        <is>
          <t>買進(萬元)</t>
        </is>
      </c>
      <c r="H35" s="115" t="inlineStr">
        <is>
          <t>賣出(萬元)</t>
        </is>
      </c>
      <c r="I35" s="115" t="inlineStr">
        <is>
          <t>淨買差(萬元)</t>
        </is>
      </c>
      <c r="J35" s="115" t="inlineStr">
        <is>
          <t>買均</t>
        </is>
      </c>
      <c r="K35" s="115" t="inlineStr">
        <is>
          <t>賣均</t>
        </is>
      </c>
      <c r="L35" s="115" t="inlineStr">
        <is>
          <t>損益(萬)</t>
        </is>
      </c>
    </row>
    <row r="36" ht="16.5" customHeight="1">
      <c r="A36" s="116" t="inlineStr">
        <is>
          <t>林滄海</t>
        </is>
      </c>
      <c r="B36" s="117" t="inlineStr">
        <is>
          <t>富邦-建國</t>
        </is>
      </c>
      <c r="C36" s="117" t="inlineStr">
        <is>
          <t>9658</t>
        </is>
      </c>
      <c r="D36" s="118" t="inlineStr">
        <is>
          <t>聯電(2303)</t>
        </is>
      </c>
      <c r="E36" s="119" t="n">
        <v>1010</v>
      </c>
      <c r="F36" s="119" t="n">
        <v>298</v>
      </c>
      <c r="G36" s="119" t="n">
        <v>15734</v>
      </c>
      <c r="H36" s="119" t="n">
        <v>4619</v>
      </c>
      <c r="I36" s="119" t="n">
        <v>11115</v>
      </c>
      <c r="J36" s="120" t="n">
        <v>155.78</v>
      </c>
      <c r="K36" s="120" t="n">
        <v>154.99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國巨*(2327)</t>
        </is>
      </c>
      <c r="E37" s="119" t="n">
        <v>219</v>
      </c>
      <c r="F37" s="119" t="n">
        <v>162</v>
      </c>
      <c r="G37" s="119" t="n">
        <v>13973</v>
      </c>
      <c r="H37" s="119" t="n">
        <v>10351</v>
      </c>
      <c r="I37" s="119" t="n">
        <v>3622</v>
      </c>
      <c r="J37" s="120" t="n">
        <v>638.02</v>
      </c>
      <c r="K37" s="120" t="n">
        <v>638.9299999999999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臻鼎-KY(4958)</t>
        </is>
      </c>
      <c r="E38" s="119" t="n">
        <v>198</v>
      </c>
      <c r="F38" s="119" t="n">
        <v>69</v>
      </c>
      <c r="G38" s="119" t="n">
        <v>11484</v>
      </c>
      <c r="H38" s="119" t="n">
        <v>4031</v>
      </c>
      <c r="I38" s="119" t="n">
        <v>7453</v>
      </c>
      <c r="J38" s="120" t="n">
        <v>579.98</v>
      </c>
      <c r="K38" s="120" t="n">
        <v>584.16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友達(2409)</t>
        </is>
      </c>
      <c r="E39" s="119" t="n">
        <v>2181</v>
      </c>
      <c r="F39" s="119" t="n">
        <v>1638</v>
      </c>
      <c r="G39" s="119" t="n">
        <v>8905</v>
      </c>
      <c r="H39" s="119" t="n">
        <v>6700</v>
      </c>
      <c r="I39" s="119" t="n">
        <v>2205</v>
      </c>
      <c r="J39" s="120" t="n">
        <v>40.83</v>
      </c>
      <c r="K39" s="120" t="n">
        <v>40.9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緯穎(6669)</t>
        </is>
      </c>
      <c r="E40" s="119" t="n">
        <v>24</v>
      </c>
      <c r="F40" s="119" t="n">
        <v>6</v>
      </c>
      <c r="G40" s="119" t="n">
        <v>5260</v>
      </c>
      <c r="H40" s="119" t="n">
        <v>1360</v>
      </c>
      <c r="I40" s="119" t="n">
        <v>3900</v>
      </c>
      <c r="J40" s="120" t="n">
        <v>2191.5</v>
      </c>
      <c r="K40" s="120" t="n">
        <v>2267.33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帆宣(6196)</t>
        </is>
      </c>
      <c r="E41" s="119" t="n">
        <v>66</v>
      </c>
      <c r="F41" s="119" t="n">
        <v>19</v>
      </c>
      <c r="G41" s="119" t="n">
        <v>4287</v>
      </c>
      <c r="H41" s="119" t="n">
        <v>1256</v>
      </c>
      <c r="I41" s="119" t="n">
        <v>3031</v>
      </c>
      <c r="J41" s="120" t="n">
        <v>649.59</v>
      </c>
      <c r="K41" s="120" t="n">
        <v>661.3200000000001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群創(3481)</t>
        </is>
      </c>
      <c r="E42" s="119" t="n">
        <v>727</v>
      </c>
      <c r="F42" s="119" t="n">
        <v>621</v>
      </c>
      <c r="G42" s="119" t="n">
        <v>3923</v>
      </c>
      <c r="H42" s="119" t="n">
        <v>3350</v>
      </c>
      <c r="I42" s="119" t="n">
        <v>573</v>
      </c>
      <c r="J42" s="120" t="n">
        <v>53.96</v>
      </c>
      <c r="K42" s="120" t="n">
        <v>53.95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鴻海(2317)</t>
        </is>
      </c>
      <c r="E43" s="119" t="n">
        <v>147</v>
      </c>
      <c r="F43" s="119" t="n">
        <v>107</v>
      </c>
      <c r="G43" s="119" t="n">
        <v>3729</v>
      </c>
      <c r="H43" s="119" t="n">
        <v>2717</v>
      </c>
      <c r="I43" s="119" t="n">
        <v>1012</v>
      </c>
      <c r="J43" s="120" t="n">
        <v>253.65</v>
      </c>
      <c r="K43" s="120" t="n">
        <v>253.93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台虹(8039)</t>
        </is>
      </c>
      <c r="E44" s="119" t="n">
        <v>108</v>
      </c>
      <c r="F44" s="119" t="n">
        <v>59</v>
      </c>
      <c r="G44" s="119" t="n">
        <v>3187</v>
      </c>
      <c r="H44" s="119" t="n">
        <v>1778</v>
      </c>
      <c r="I44" s="119" t="n">
        <v>1409</v>
      </c>
      <c r="J44" s="120" t="n">
        <v>295.11</v>
      </c>
      <c r="K44" s="120" t="n">
        <v>301.27</v>
      </c>
      <c r="L44" s="253">
        <f>F44*(K44-J44)</f>
        <v/>
      </c>
    </row>
    <row r="45" ht="16.5" customHeight="1">
      <c r="A45" s="121" t="n"/>
      <c r="B45" s="121" t="n"/>
      <c r="C45" s="121" t="n"/>
      <c r="D45" s="118" t="inlineStr">
        <is>
          <t>合晶(6182)</t>
        </is>
      </c>
      <c r="E45" s="119" t="n">
        <v>228</v>
      </c>
      <c r="F45" s="119" t="n">
        <v>106</v>
      </c>
      <c r="G45" s="119" t="n">
        <v>3079</v>
      </c>
      <c r="H45" s="119" t="n">
        <v>1419</v>
      </c>
      <c r="I45" s="119" t="n">
        <v>1660</v>
      </c>
      <c r="J45" s="120" t="n">
        <v>135.06</v>
      </c>
      <c r="K45" s="120" t="n">
        <v>133.84</v>
      </c>
      <c r="L45" s="254">
        <f>F45*(K45-J45)</f>
        <v/>
      </c>
    </row>
    <row r="46" ht="16.5" customHeight="1">
      <c r="A46" s="122" t="n"/>
      <c r="B46" s="115" t="inlineStr">
        <is>
          <t>常下分點</t>
        </is>
      </c>
      <c r="C46" s="115" t="inlineStr">
        <is>
          <t>分點代號</t>
        </is>
      </c>
      <c r="D46" s="115" t="inlineStr">
        <is>
          <t>標的</t>
        </is>
      </c>
      <c r="E46" s="115" t="inlineStr">
        <is>
          <t>買進(張)</t>
        </is>
      </c>
      <c r="F46" s="115" t="inlineStr">
        <is>
          <t>賣出(張)</t>
        </is>
      </c>
      <c r="G46" s="115" t="inlineStr">
        <is>
          <t>買進(萬元)</t>
        </is>
      </c>
      <c r="H46" s="115" t="inlineStr">
        <is>
          <t>賣出(萬元)</t>
        </is>
      </c>
      <c r="I46" s="115" t="inlineStr">
        <is>
          <t>淨買差(萬元)</t>
        </is>
      </c>
      <c r="J46" s="115" t="inlineStr">
        <is>
          <t>買均</t>
        </is>
      </c>
      <c r="K46" s="115" t="inlineStr">
        <is>
          <t>賣均</t>
        </is>
      </c>
      <c r="L46" s="115" t="inlineStr">
        <is>
          <t>損益(萬)</t>
        </is>
      </c>
    </row>
    <row r="47" ht="16.5" customHeight="1">
      <c r="A47" s="121" t="n"/>
      <c r="B47" s="117" t="inlineStr">
        <is>
          <t>華南永昌-古亭</t>
        </is>
      </c>
      <c r="C47" s="117" t="inlineStr">
        <is>
          <t>9309</t>
        </is>
      </c>
      <c r="D47" s="118" t="inlineStr">
        <is>
          <t>愛普*(6531)</t>
        </is>
      </c>
      <c r="E47" s="119" t="n">
        <v>286</v>
      </c>
      <c r="F47" s="119" t="n">
        <v>87</v>
      </c>
      <c r="G47" s="119" t="n">
        <v>29239</v>
      </c>
      <c r="H47" s="119" t="n">
        <v>8926</v>
      </c>
      <c r="I47" s="119" t="n">
        <v>20313</v>
      </c>
      <c r="J47" s="120" t="n">
        <v>1022.35</v>
      </c>
      <c r="K47" s="120" t="n">
        <v>1025.92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健策(3653)</t>
        </is>
      </c>
      <c r="E48" s="119" t="n">
        <v>21</v>
      </c>
      <c r="F48" s="119" t="n">
        <v>1</v>
      </c>
      <c r="G48" s="119" t="n">
        <v>15347</v>
      </c>
      <c r="H48" s="119" t="n">
        <v>750</v>
      </c>
      <c r="I48" s="119" t="n">
        <v>14597</v>
      </c>
      <c r="J48" s="120" t="n">
        <v>7308.19</v>
      </c>
      <c r="K48" s="120" t="n">
        <v>7503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國巨*(2327)</t>
        </is>
      </c>
      <c r="E49" s="119" t="n">
        <v>48</v>
      </c>
      <c r="F49" s="119" t="n">
        <v>17</v>
      </c>
      <c r="G49" s="119" t="n">
        <v>3094</v>
      </c>
      <c r="H49" s="119" t="n">
        <v>1096</v>
      </c>
      <c r="I49" s="119" t="n">
        <v>1998</v>
      </c>
      <c r="J49" s="120" t="n">
        <v>644.48</v>
      </c>
      <c r="K49" s="120" t="n">
        <v>644.9400000000001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富世達(6805)</t>
        </is>
      </c>
      <c r="E50" s="119" t="n">
        <v>12</v>
      </c>
      <c r="F50" s="119" t="n">
        <v>0</v>
      </c>
      <c r="G50" s="119" t="n">
        <v>2854</v>
      </c>
      <c r="H50" s="119" t="n">
        <v>0</v>
      </c>
      <c r="I50" s="119" t="n">
        <v>2854</v>
      </c>
      <c r="J50" s="120" t="n">
        <v>2377.92</v>
      </c>
      <c r="K50" s="120" t="n">
        <v>0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華新科(2492)</t>
        </is>
      </c>
      <c r="E51" s="119" t="n">
        <v>67</v>
      </c>
      <c r="F51" s="119" t="n">
        <v>27</v>
      </c>
      <c r="G51" s="119" t="n">
        <v>2552</v>
      </c>
      <c r="H51" s="119" t="n">
        <v>1042</v>
      </c>
      <c r="I51" s="119" t="n">
        <v>1510</v>
      </c>
      <c r="J51" s="120" t="n">
        <v>380.91</v>
      </c>
      <c r="K51" s="120" t="n">
        <v>386.11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聯電(2303)</t>
        </is>
      </c>
      <c r="E52" s="119" t="n">
        <v>152</v>
      </c>
      <c r="F52" s="119" t="n">
        <v>29</v>
      </c>
      <c r="G52" s="119" t="n">
        <v>2369</v>
      </c>
      <c r="H52" s="119" t="n">
        <v>456</v>
      </c>
      <c r="I52" s="119" t="n">
        <v>1913</v>
      </c>
      <c r="J52" s="120" t="n">
        <v>155.88</v>
      </c>
      <c r="K52" s="120" t="n">
        <v>157.21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台虹(8039)</t>
        </is>
      </c>
      <c r="E53" s="119" t="n">
        <v>68</v>
      </c>
      <c r="F53" s="119" t="n">
        <v>14</v>
      </c>
      <c r="G53" s="119" t="n">
        <v>2027</v>
      </c>
      <c r="H53" s="119" t="n">
        <v>413</v>
      </c>
      <c r="I53" s="119" t="n">
        <v>1614</v>
      </c>
      <c r="J53" s="120" t="n">
        <v>298.03</v>
      </c>
      <c r="K53" s="120" t="n">
        <v>295.29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南亞(1303)</t>
        </is>
      </c>
      <c r="E54" s="119" t="n">
        <v>69</v>
      </c>
      <c r="F54" s="119" t="n">
        <v>59</v>
      </c>
      <c r="G54" s="119" t="n">
        <v>1960</v>
      </c>
      <c r="H54" s="119" t="n">
        <v>1644</v>
      </c>
      <c r="I54" s="119" t="n">
        <v>316</v>
      </c>
      <c r="J54" s="120" t="n">
        <v>284.13</v>
      </c>
      <c r="K54" s="120" t="n">
        <v>278.61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前鼎(4908)</t>
        </is>
      </c>
      <c r="E55" s="119" t="n">
        <v>78</v>
      </c>
      <c r="F55" s="119" t="n">
        <v>28</v>
      </c>
      <c r="G55" s="119" t="n">
        <v>1866</v>
      </c>
      <c r="H55" s="119" t="n">
        <v>674</v>
      </c>
      <c r="I55" s="119" t="n">
        <v>1192</v>
      </c>
      <c r="J55" s="120" t="n">
        <v>239.28</v>
      </c>
      <c r="K55" s="120" t="n">
        <v>240.82</v>
      </c>
      <c r="L55" s="253">
        <f>F55*(K55-J55)</f>
        <v/>
      </c>
    </row>
    <row r="56" ht="16.5" customHeight="1">
      <c r="A56" s="121" t="n"/>
      <c r="B56" s="121" t="n"/>
      <c r="C56" s="121" t="n"/>
      <c r="D56" s="118" t="inlineStr">
        <is>
          <t>環球晶(6488)</t>
        </is>
      </c>
      <c r="E56" s="119" t="n">
        <v>10</v>
      </c>
      <c r="F56" s="119" t="n">
        <v>7</v>
      </c>
      <c r="G56" s="119" t="n">
        <v>1226</v>
      </c>
      <c r="H56" s="119" t="n">
        <v>874</v>
      </c>
      <c r="I56" s="119" t="n">
        <v>352</v>
      </c>
      <c r="J56" s="120" t="n">
        <v>1226.2</v>
      </c>
      <c r="K56" s="120" t="n">
        <v>1248.71</v>
      </c>
      <c r="L56" s="253">
        <f>F56*(K56-J56)</f>
        <v/>
      </c>
    </row>
    <row r="57" ht="16.5" customHeight="1">
      <c r="A57" s="122" t="n"/>
      <c r="B57" s="115" t="inlineStr">
        <is>
          <t>常下分點</t>
        </is>
      </c>
      <c r="C57" s="115" t="inlineStr">
        <is>
          <t>分點代號</t>
        </is>
      </c>
      <c r="D57" s="115" t="inlineStr">
        <is>
          <t>標的</t>
        </is>
      </c>
      <c r="E57" s="115" t="inlineStr">
        <is>
          <t>買進(張)</t>
        </is>
      </c>
      <c r="F57" s="115" t="inlineStr">
        <is>
          <t>賣出(張)</t>
        </is>
      </c>
      <c r="G57" s="115" t="inlineStr">
        <is>
          <t>買進(萬元)</t>
        </is>
      </c>
      <c r="H57" s="115" t="inlineStr">
        <is>
          <t>賣出(萬元)</t>
        </is>
      </c>
      <c r="I57" s="115" t="inlineStr">
        <is>
          <t>淨買差(萬元)</t>
        </is>
      </c>
      <c r="J57" s="115" t="inlineStr">
        <is>
          <t>買均</t>
        </is>
      </c>
      <c r="K57" s="115" t="inlineStr">
        <is>
          <t>賣均</t>
        </is>
      </c>
      <c r="L57" s="115" t="inlineStr">
        <is>
          <t>損益(萬)</t>
        </is>
      </c>
    </row>
    <row r="58" ht="16.5" customHeight="1">
      <c r="A58" s="121" t="n"/>
      <c r="B58" s="117" t="inlineStr">
        <is>
          <t>宏遠證券</t>
        </is>
      </c>
      <c r="C58" s="117" t="inlineStr">
        <is>
          <t>1260</t>
        </is>
      </c>
      <c r="D58" s="118" t="inlineStr">
        <is>
          <t>欣興(3037)</t>
        </is>
      </c>
      <c r="E58" s="119" t="n">
        <v>379</v>
      </c>
      <c r="F58" s="119" t="n">
        <v>118</v>
      </c>
      <c r="G58" s="119" t="n">
        <v>52435</v>
      </c>
      <c r="H58" s="119" t="n">
        <v>16128</v>
      </c>
      <c r="I58" s="119" t="n">
        <v>36307</v>
      </c>
      <c r="J58" s="120" t="n">
        <v>1383.52</v>
      </c>
      <c r="K58" s="120" t="n">
        <v>1366.79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光聖(6442)</t>
        </is>
      </c>
      <c r="E59" s="119" t="n">
        <v>139</v>
      </c>
      <c r="F59" s="119" t="n">
        <v>1</v>
      </c>
      <c r="G59" s="119" t="n">
        <v>23895</v>
      </c>
      <c r="H59" s="119" t="n">
        <v>168</v>
      </c>
      <c r="I59" s="119" t="n">
        <v>23727</v>
      </c>
      <c r="J59" s="120" t="n">
        <v>1719.07</v>
      </c>
      <c r="K59" s="120" t="n">
        <v>1685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國巨*(2327)</t>
        </is>
      </c>
      <c r="E60" s="119" t="n">
        <v>270</v>
      </c>
      <c r="F60" s="119" t="n">
        <v>95</v>
      </c>
      <c r="G60" s="119" t="n">
        <v>17170</v>
      </c>
      <c r="H60" s="119" t="n">
        <v>5990</v>
      </c>
      <c r="I60" s="119" t="n">
        <v>11180</v>
      </c>
      <c r="J60" s="120" t="n">
        <v>635.9299999999999</v>
      </c>
      <c r="K60" s="120" t="n">
        <v>630.58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臻鼎-KY(4958)</t>
        </is>
      </c>
      <c r="E61" s="119" t="n">
        <v>263</v>
      </c>
      <c r="F61" s="119" t="n">
        <v>69</v>
      </c>
      <c r="G61" s="119" t="n">
        <v>15382</v>
      </c>
      <c r="H61" s="119" t="n">
        <v>3953</v>
      </c>
      <c r="I61" s="119" t="n">
        <v>11429</v>
      </c>
      <c r="J61" s="120" t="n">
        <v>584.88</v>
      </c>
      <c r="K61" s="120" t="n">
        <v>572.91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聯發科(2454)</t>
        </is>
      </c>
      <c r="E62" s="119" t="n">
        <v>29</v>
      </c>
      <c r="F62" s="119" t="n">
        <v>20</v>
      </c>
      <c r="G62" s="119" t="n">
        <v>14858</v>
      </c>
      <c r="H62" s="119" t="n">
        <v>10321</v>
      </c>
      <c r="I62" s="119" t="n">
        <v>4537</v>
      </c>
      <c r="J62" s="120" t="n">
        <v>5123.62</v>
      </c>
      <c r="K62" s="120" t="n">
        <v>5160.4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聯電(2303)</t>
        </is>
      </c>
      <c r="E63" s="119" t="n">
        <v>913</v>
      </c>
      <c r="F63" s="119" t="n">
        <v>687</v>
      </c>
      <c r="G63" s="119" t="n">
        <v>14165</v>
      </c>
      <c r="H63" s="119" t="n">
        <v>10702</v>
      </c>
      <c r="I63" s="119" t="n">
        <v>3463</v>
      </c>
      <c r="J63" s="120" t="n">
        <v>155.15</v>
      </c>
      <c r="K63" s="120" t="n">
        <v>155.78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穎崴(6515)</t>
        </is>
      </c>
      <c r="E64" s="119" t="n">
        <v>19</v>
      </c>
      <c r="F64" s="119" t="n">
        <v>0</v>
      </c>
      <c r="G64" s="119" t="n">
        <v>11751</v>
      </c>
      <c r="H64" s="119" t="n">
        <v>0</v>
      </c>
      <c r="I64" s="119" t="n">
        <v>11751</v>
      </c>
      <c r="J64" s="120" t="n">
        <v>6184.79</v>
      </c>
      <c r="K64" s="120" t="n">
        <v>0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南電(8046)</t>
        </is>
      </c>
      <c r="E65" s="119" t="n">
        <v>71</v>
      </c>
      <c r="F65" s="119" t="n">
        <v>18</v>
      </c>
      <c r="G65" s="119" t="n">
        <v>10833</v>
      </c>
      <c r="H65" s="119" t="n">
        <v>2703</v>
      </c>
      <c r="I65" s="119" t="n">
        <v>8130</v>
      </c>
      <c r="J65" s="120" t="n">
        <v>1525.77</v>
      </c>
      <c r="K65" s="120" t="n">
        <v>1501.56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聯亞(3081)</t>
        </is>
      </c>
      <c r="E66" s="119" t="n">
        <v>29</v>
      </c>
      <c r="F66" s="119" t="n">
        <v>1</v>
      </c>
      <c r="G66" s="119" t="n">
        <v>8958</v>
      </c>
      <c r="H66" s="119" t="n">
        <v>284</v>
      </c>
      <c r="I66" s="119" t="n">
        <v>8674</v>
      </c>
      <c r="J66" s="120" t="n">
        <v>3088.93</v>
      </c>
      <c r="K66" s="120" t="n">
        <v>2839</v>
      </c>
      <c r="L66" s="254">
        <f>F66*(K66-J66)</f>
        <v/>
      </c>
    </row>
    <row r="67" ht="16.5" customHeight="1">
      <c r="A67" s="121" t="n"/>
      <c r="B67" s="121" t="n"/>
      <c r="C67" s="121" t="n"/>
      <c r="D67" s="118" t="inlineStr">
        <is>
          <t>台表科(6278)</t>
        </is>
      </c>
      <c r="E67" s="119" t="n">
        <v>403</v>
      </c>
      <c r="F67" s="119" t="n">
        <v>1</v>
      </c>
      <c r="G67" s="119" t="n">
        <v>8848</v>
      </c>
      <c r="H67" s="119" t="n">
        <v>22</v>
      </c>
      <c r="I67" s="119" t="n">
        <v>8826</v>
      </c>
      <c r="J67" s="120" t="n">
        <v>219.55</v>
      </c>
      <c r="K67" s="120" t="n">
        <v>217</v>
      </c>
      <c r="L67" s="254">
        <f>F67*(K67-J67)</f>
        <v/>
      </c>
    </row>
    <row r="68" ht="16.5" customHeight="1">
      <c r="A68" s="122" t="n"/>
      <c r="B68" s="115" t="inlineStr">
        <is>
          <t>常下分點</t>
        </is>
      </c>
      <c r="C68" s="115" t="inlineStr">
        <is>
          <t>分點代號</t>
        </is>
      </c>
      <c r="D68" s="115" t="inlineStr">
        <is>
          <t>標的</t>
        </is>
      </c>
      <c r="E68" s="115" t="inlineStr">
        <is>
          <t>買進(張)</t>
        </is>
      </c>
      <c r="F68" s="115" t="inlineStr">
        <is>
          <t>賣出(張)</t>
        </is>
      </c>
      <c r="G68" s="115" t="inlineStr">
        <is>
          <t>買進(萬元)</t>
        </is>
      </c>
      <c r="H68" s="115" t="inlineStr">
        <is>
          <t>賣出(萬元)</t>
        </is>
      </c>
      <c r="I68" s="115" t="inlineStr">
        <is>
          <t>淨買差(萬元)</t>
        </is>
      </c>
      <c r="J68" s="115" t="inlineStr">
        <is>
          <t>買均</t>
        </is>
      </c>
      <c r="K68" s="115" t="inlineStr">
        <is>
          <t>賣均</t>
        </is>
      </c>
      <c r="L68" s="115" t="inlineStr">
        <is>
          <t>損益(萬)</t>
        </is>
      </c>
    </row>
    <row r="69" ht="16.5" customHeight="1">
      <c r="A69" s="121" t="n"/>
      <c r="B69" s="117" t="inlineStr">
        <is>
          <t>凱基-信義</t>
        </is>
      </c>
      <c r="C69" s="117" t="inlineStr">
        <is>
          <t>9216</t>
        </is>
      </c>
      <c r="D69" s="118" t="inlineStr">
        <is>
          <t>玉晶光(3406)</t>
        </is>
      </c>
      <c r="E69" s="119" t="n">
        <v>1048</v>
      </c>
      <c r="F69" s="119" t="n">
        <v>1</v>
      </c>
      <c r="G69" s="119" t="n">
        <v>110171</v>
      </c>
      <c r="H69" s="119" t="n">
        <v>111</v>
      </c>
      <c r="I69" s="119" t="n">
        <v>110060</v>
      </c>
      <c r="J69" s="120" t="n">
        <v>1051.25</v>
      </c>
      <c r="K69" s="120" t="n">
        <v>1107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南亞(1303)</t>
        </is>
      </c>
      <c r="E70" s="119" t="n">
        <v>3132</v>
      </c>
      <c r="F70" s="119" t="n">
        <v>106</v>
      </c>
      <c r="G70" s="119" t="n">
        <v>89479</v>
      </c>
      <c r="H70" s="119" t="n">
        <v>2953</v>
      </c>
      <c r="I70" s="119" t="n">
        <v>86526</v>
      </c>
      <c r="J70" s="120" t="n">
        <v>285.69</v>
      </c>
      <c r="K70" s="120" t="n">
        <v>278.55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聯發科(2454)</t>
        </is>
      </c>
      <c r="E71" s="119" t="n">
        <v>144</v>
      </c>
      <c r="F71" s="119" t="n">
        <v>8</v>
      </c>
      <c r="G71" s="119" t="n">
        <v>73463</v>
      </c>
      <c r="H71" s="119" t="n">
        <v>4050</v>
      </c>
      <c r="I71" s="119" t="n">
        <v>69413</v>
      </c>
      <c r="J71" s="120" t="n">
        <v>5101.57</v>
      </c>
      <c r="K71" s="120" t="n">
        <v>5062.25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華通(2313)</t>
        </is>
      </c>
      <c r="E72" s="119" t="n">
        <v>1459</v>
      </c>
      <c r="F72" s="119" t="n">
        <v>84</v>
      </c>
      <c r="G72" s="119" t="n">
        <v>35878</v>
      </c>
      <c r="H72" s="119" t="n">
        <v>2071</v>
      </c>
      <c r="I72" s="119" t="n">
        <v>33807</v>
      </c>
      <c r="J72" s="120" t="n">
        <v>245.91</v>
      </c>
      <c r="K72" s="120" t="n">
        <v>246.58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智邦(2345)</t>
        </is>
      </c>
      <c r="E73" s="119" t="n">
        <v>168</v>
      </c>
      <c r="F73" s="119" t="n">
        <v>3</v>
      </c>
      <c r="G73" s="119" t="n">
        <v>34710</v>
      </c>
      <c r="H73" s="119" t="n">
        <v>630</v>
      </c>
      <c r="I73" s="119" t="n">
        <v>34080</v>
      </c>
      <c r="J73" s="120" t="n">
        <v>2066.1</v>
      </c>
      <c r="K73" s="120" t="n">
        <v>2099.33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精材(3374)</t>
        </is>
      </c>
      <c r="E74" s="119" t="n">
        <v>418</v>
      </c>
      <c r="F74" s="119" t="n">
        <v>1</v>
      </c>
      <c r="G74" s="119" t="n">
        <v>20812</v>
      </c>
      <c r="H74" s="119" t="n">
        <v>50</v>
      </c>
      <c r="I74" s="119" t="n">
        <v>20762</v>
      </c>
      <c r="J74" s="120" t="n">
        <v>497.89</v>
      </c>
      <c r="K74" s="120" t="n">
        <v>500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大立光(3008)</t>
        </is>
      </c>
      <c r="E75" s="119" t="n">
        <v>26</v>
      </c>
      <c r="F75" s="119" t="n">
        <v>1</v>
      </c>
      <c r="G75" s="119" t="n">
        <v>17534</v>
      </c>
      <c r="H75" s="119" t="n">
        <v>754</v>
      </c>
      <c r="I75" s="119" t="n">
        <v>16780</v>
      </c>
      <c r="J75" s="120" t="n">
        <v>6743.77</v>
      </c>
      <c r="K75" s="120" t="n">
        <v>7535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穩懋(3105)</t>
        </is>
      </c>
      <c r="E76" s="119" t="n">
        <v>219</v>
      </c>
      <c r="F76" s="119" t="n">
        <v>57</v>
      </c>
      <c r="G76" s="119" t="n">
        <v>13640</v>
      </c>
      <c r="H76" s="119" t="n">
        <v>3518</v>
      </c>
      <c r="I76" s="119" t="n">
        <v>10122</v>
      </c>
      <c r="J76" s="120" t="n">
        <v>622.8099999999999</v>
      </c>
      <c r="K76" s="120" t="n">
        <v>617.14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川湖(2059)</t>
        </is>
      </c>
      <c r="E77" s="119" t="n">
        <v>9</v>
      </c>
      <c r="F77" s="119" t="n">
        <v>1</v>
      </c>
      <c r="G77" s="119" t="n">
        <v>11984</v>
      </c>
      <c r="H77" s="119" t="n">
        <v>15</v>
      </c>
      <c r="I77" s="119" t="n">
        <v>11969</v>
      </c>
      <c r="J77" s="120" t="n">
        <v>13315.78</v>
      </c>
      <c r="K77" s="120" t="n">
        <v>146</v>
      </c>
      <c r="L77" s="254">
        <f>F77*(K77-J77)</f>
        <v/>
      </c>
    </row>
    <row r="78" ht="16.5" customHeight="1">
      <c r="A78" s="121" t="n"/>
      <c r="B78" s="121" t="n"/>
      <c r="C78" s="121" t="n"/>
      <c r="D78" s="118" t="inlineStr">
        <is>
          <t>矽格(6257)</t>
        </is>
      </c>
      <c r="E78" s="119" t="n">
        <v>293</v>
      </c>
      <c r="F78" s="119" t="n">
        <v>4</v>
      </c>
      <c r="G78" s="119" t="n">
        <v>7917</v>
      </c>
      <c r="H78" s="119" t="n">
        <v>105</v>
      </c>
      <c r="I78" s="119" t="n">
        <v>7812</v>
      </c>
      <c r="J78" s="120" t="n">
        <v>270.19</v>
      </c>
      <c r="K78" s="120" t="n">
        <v>261.5</v>
      </c>
      <c r="L78" s="254">
        <f>F78*(K78-J78)</f>
        <v/>
      </c>
    </row>
    <row r="79" ht="16.5" customHeight="1">
      <c r="A79" s="125" t="inlineStr">
        <is>
          <t>高手</t>
        </is>
      </c>
      <c r="B79" s="125" t="inlineStr">
        <is>
          <t>常下分點</t>
        </is>
      </c>
      <c r="C79" s="125" t="inlineStr">
        <is>
          <t>分點代號</t>
        </is>
      </c>
      <c r="D79" s="125" t="inlineStr">
        <is>
          <t>標的</t>
        </is>
      </c>
      <c r="E79" s="125" t="inlineStr">
        <is>
          <t>買進(張)</t>
        </is>
      </c>
      <c r="F79" s="125" t="inlineStr">
        <is>
          <t>賣出(張)</t>
        </is>
      </c>
      <c r="G79" s="125" t="inlineStr">
        <is>
          <t>買進(萬元)</t>
        </is>
      </c>
      <c r="H79" s="125" t="inlineStr">
        <is>
          <t>賣出(萬元)</t>
        </is>
      </c>
      <c r="I79" s="125" t="inlineStr">
        <is>
          <t>淨買差(萬元)</t>
        </is>
      </c>
      <c r="J79" s="125" t="inlineStr">
        <is>
          <t>買均</t>
        </is>
      </c>
      <c r="K79" s="125" t="inlineStr">
        <is>
          <t>賣均</t>
        </is>
      </c>
      <c r="L79" s="125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華通(2313)</t>
        </is>
      </c>
      <c r="E80" s="129" t="n">
        <v>1734</v>
      </c>
      <c r="F80" s="129" t="n">
        <v>108</v>
      </c>
      <c r="G80" s="129" t="n">
        <v>42315</v>
      </c>
      <c r="H80" s="129" t="n">
        <v>2653</v>
      </c>
      <c r="I80" s="129" t="n">
        <v>39662</v>
      </c>
      <c r="J80" s="130" t="n">
        <v>244.03</v>
      </c>
      <c r="K80" s="130" t="n">
        <v>245.65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台燿(6274)</t>
        </is>
      </c>
      <c r="E81" s="129" t="n">
        <v>221</v>
      </c>
      <c r="F81" s="129" t="n">
        <v>31</v>
      </c>
      <c r="G81" s="129" t="n">
        <v>39309</v>
      </c>
      <c r="H81" s="129" t="n">
        <v>5377</v>
      </c>
      <c r="I81" s="129" t="n">
        <v>33932</v>
      </c>
      <c r="J81" s="130" t="n">
        <v>1778.67</v>
      </c>
      <c r="K81" s="130" t="n">
        <v>1734.52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南亞(1303)</t>
        </is>
      </c>
      <c r="E82" s="129" t="n">
        <v>1232</v>
      </c>
      <c r="F82" s="129" t="n">
        <v>79</v>
      </c>
      <c r="G82" s="129" t="n">
        <v>35180</v>
      </c>
      <c r="H82" s="129" t="n">
        <v>2185</v>
      </c>
      <c r="I82" s="129" t="n">
        <v>32995</v>
      </c>
      <c r="J82" s="130" t="n">
        <v>285.55</v>
      </c>
      <c r="K82" s="130" t="n">
        <v>276.53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聯茂(6213)</t>
        </is>
      </c>
      <c r="E83" s="129" t="n">
        <v>329</v>
      </c>
      <c r="F83" s="129" t="n">
        <v>10</v>
      </c>
      <c r="G83" s="129" t="n">
        <v>24638</v>
      </c>
      <c r="H83" s="129" t="n">
        <v>762</v>
      </c>
      <c r="I83" s="129" t="n">
        <v>23876</v>
      </c>
      <c r="J83" s="130" t="n">
        <v>748.88</v>
      </c>
      <c r="K83" s="130" t="n">
        <v>762.2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台達電(2308)</t>
        </is>
      </c>
      <c r="E84" s="129" t="n">
        <v>110</v>
      </c>
      <c r="F84" s="129" t="n">
        <v>26</v>
      </c>
      <c r="G84" s="129" t="n">
        <v>22029</v>
      </c>
      <c r="H84" s="129" t="n">
        <v>5159</v>
      </c>
      <c r="I84" s="129" t="n">
        <v>16870</v>
      </c>
      <c r="J84" s="130" t="n">
        <v>2002.61</v>
      </c>
      <c r="K84" s="130" t="n">
        <v>1984.23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大立光(3008)</t>
        </is>
      </c>
      <c r="E85" s="129" t="n">
        <v>27</v>
      </c>
      <c r="F85" s="129" t="n">
        <v>1</v>
      </c>
      <c r="G85" s="129" t="n">
        <v>17921</v>
      </c>
      <c r="H85" s="129" t="n">
        <v>843</v>
      </c>
      <c r="I85" s="129" t="n">
        <v>17078</v>
      </c>
      <c r="J85" s="130" t="n">
        <v>6637.37</v>
      </c>
      <c r="K85" s="130" t="n">
        <v>8434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緯穎(6669)</t>
        </is>
      </c>
      <c r="E86" s="129" t="n">
        <v>77</v>
      </c>
      <c r="F86" s="129" t="n">
        <v>15</v>
      </c>
      <c r="G86" s="129" t="n">
        <v>16516</v>
      </c>
      <c r="H86" s="129" t="n">
        <v>3223</v>
      </c>
      <c r="I86" s="129" t="n">
        <v>13293</v>
      </c>
      <c r="J86" s="130" t="n">
        <v>2144.95</v>
      </c>
      <c r="K86" s="130" t="n">
        <v>2148.8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宏捷科(8086)</t>
        </is>
      </c>
      <c r="E87" s="129" t="n">
        <v>1172</v>
      </c>
      <c r="F87" s="129" t="n">
        <v>27</v>
      </c>
      <c r="G87" s="129" t="n">
        <v>14711</v>
      </c>
      <c r="H87" s="129" t="n">
        <v>346</v>
      </c>
      <c r="I87" s="129" t="n">
        <v>14365</v>
      </c>
      <c r="J87" s="130" t="n">
        <v>125.52</v>
      </c>
      <c r="K87" s="130" t="n">
        <v>128.11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聯發科(2454)</t>
        </is>
      </c>
      <c r="E88" s="129" t="n">
        <v>21</v>
      </c>
      <c r="F88" s="129" t="n">
        <v>8</v>
      </c>
      <c r="G88" s="129" t="n">
        <v>10792</v>
      </c>
      <c r="H88" s="129" t="n">
        <v>4175</v>
      </c>
      <c r="I88" s="129" t="n">
        <v>6617</v>
      </c>
      <c r="J88" s="130" t="n">
        <v>5139.05</v>
      </c>
      <c r="K88" s="130" t="n">
        <v>5219</v>
      </c>
      <c r="L88" s="253">
        <f>F88*(K88-J88)</f>
        <v/>
      </c>
    </row>
    <row r="89" ht="16.5" customHeight="1">
      <c r="A89" s="131" t="n"/>
      <c r="B89" s="131" t="n"/>
      <c r="C89" s="131" t="n"/>
      <c r="D89" s="128" t="inlineStr">
        <is>
          <t>智邦(2345)</t>
        </is>
      </c>
      <c r="E89" s="129" t="n">
        <v>51</v>
      </c>
      <c r="F89" s="129" t="n">
        <v>7</v>
      </c>
      <c r="G89" s="129" t="n">
        <v>10582</v>
      </c>
      <c r="H89" s="129" t="n">
        <v>1455</v>
      </c>
      <c r="I89" s="129" t="n">
        <v>9127</v>
      </c>
      <c r="J89" s="130" t="n">
        <v>2074.98</v>
      </c>
      <c r="K89" s="130" t="n">
        <v>2078.71</v>
      </c>
      <c r="L89" s="253">
        <f>F89*(K89-J89)</f>
        <v/>
      </c>
    </row>
    <row r="90" ht="16.5" customHeight="1">
      <c r="A90" s="132" t="n"/>
      <c r="B90" s="125" t="inlineStr">
        <is>
          <t>常下分點</t>
        </is>
      </c>
      <c r="C90" s="125" t="inlineStr">
        <is>
          <t>分點代號</t>
        </is>
      </c>
      <c r="D90" s="125" t="inlineStr">
        <is>
          <t>標的</t>
        </is>
      </c>
      <c r="E90" s="125" t="inlineStr">
        <is>
          <t>買進(張)</t>
        </is>
      </c>
      <c r="F90" s="125" t="inlineStr">
        <is>
          <t>賣出(張)</t>
        </is>
      </c>
      <c r="G90" s="125" t="inlineStr">
        <is>
          <t>買進(萬元)</t>
        </is>
      </c>
      <c r="H90" s="125" t="inlineStr">
        <is>
          <t>賣出(萬元)</t>
        </is>
      </c>
      <c r="I90" s="125" t="inlineStr">
        <is>
          <t>淨買差(萬元)</t>
        </is>
      </c>
      <c r="J90" s="125" t="inlineStr">
        <is>
          <t>買均</t>
        </is>
      </c>
      <c r="K90" s="125" t="inlineStr">
        <is>
          <t>賣均</t>
        </is>
      </c>
      <c r="L90" s="125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華新科(2492)</t>
        </is>
      </c>
      <c r="E91" s="129" t="n">
        <v>121</v>
      </c>
      <c r="F91" s="129" t="n">
        <v>105</v>
      </c>
      <c r="G91" s="129" t="n">
        <v>4633</v>
      </c>
      <c r="H91" s="129" t="n">
        <v>3976</v>
      </c>
      <c r="I91" s="129" t="n">
        <v>657</v>
      </c>
      <c r="J91" s="130" t="n">
        <v>382.88</v>
      </c>
      <c r="K91" s="130" t="n">
        <v>378.7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友達(2409)</t>
        </is>
      </c>
      <c r="E92" s="129" t="n">
        <v>1090</v>
      </c>
      <c r="F92" s="129" t="n">
        <v>1027</v>
      </c>
      <c r="G92" s="129" t="n">
        <v>4414</v>
      </c>
      <c r="H92" s="129" t="n">
        <v>4173</v>
      </c>
      <c r="I92" s="129" t="n">
        <v>241</v>
      </c>
      <c r="J92" s="130" t="n">
        <v>40.49</v>
      </c>
      <c r="K92" s="130" t="n">
        <v>40.64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國巨*(2327)</t>
        </is>
      </c>
      <c r="E93" s="129" t="n">
        <v>52</v>
      </c>
      <c r="F93" s="129" t="n">
        <v>41</v>
      </c>
      <c r="G93" s="129" t="n">
        <v>3234</v>
      </c>
      <c r="H93" s="129" t="n">
        <v>2550</v>
      </c>
      <c r="I93" s="129" t="n">
        <v>684</v>
      </c>
      <c r="J93" s="130" t="n">
        <v>622</v>
      </c>
      <c r="K93" s="130" t="n">
        <v>622.0700000000001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欣興(3037)</t>
        </is>
      </c>
      <c r="E94" s="129" t="n">
        <v>21</v>
      </c>
      <c r="F94" s="129" t="n">
        <v>8</v>
      </c>
      <c r="G94" s="129" t="n">
        <v>2830</v>
      </c>
      <c r="H94" s="129" t="n">
        <v>1107</v>
      </c>
      <c r="I94" s="129" t="n">
        <v>1723</v>
      </c>
      <c r="J94" s="130" t="n">
        <v>1347.48</v>
      </c>
      <c r="K94" s="130" t="n">
        <v>1383.88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大量(3167)</t>
        </is>
      </c>
      <c r="E95" s="129" t="n">
        <v>25</v>
      </c>
      <c r="F95" s="129" t="n">
        <v>20</v>
      </c>
      <c r="G95" s="129" t="n">
        <v>2514</v>
      </c>
      <c r="H95" s="129" t="n">
        <v>1949</v>
      </c>
      <c r="I95" s="129" t="n">
        <v>565</v>
      </c>
      <c r="J95" s="130" t="n">
        <v>1005.76</v>
      </c>
      <c r="K95" s="130" t="n">
        <v>974.45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景碩(3189)</t>
        </is>
      </c>
      <c r="E96" s="129" t="n">
        <v>21</v>
      </c>
      <c r="F96" s="129" t="n">
        <v>14</v>
      </c>
      <c r="G96" s="129" t="n">
        <v>2296</v>
      </c>
      <c r="H96" s="129" t="n">
        <v>1531</v>
      </c>
      <c r="I96" s="129" t="n">
        <v>765</v>
      </c>
      <c r="J96" s="130" t="n">
        <v>1093.14</v>
      </c>
      <c r="K96" s="130" t="n">
        <v>1093.71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佳必琪(6197)</t>
        </is>
      </c>
      <c r="E97" s="129" t="n">
        <v>66</v>
      </c>
      <c r="F97" s="129" t="n">
        <v>29</v>
      </c>
      <c r="G97" s="129" t="n">
        <v>2282</v>
      </c>
      <c r="H97" s="129" t="n">
        <v>1009</v>
      </c>
      <c r="I97" s="129" t="n">
        <v>1273</v>
      </c>
      <c r="J97" s="130" t="n">
        <v>345.8</v>
      </c>
      <c r="K97" s="130" t="n">
        <v>348.03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環球晶(6488)</t>
        </is>
      </c>
      <c r="E98" s="129" t="n">
        <v>16</v>
      </c>
      <c r="F98" s="129" t="n">
        <v>14</v>
      </c>
      <c r="G98" s="129" t="n">
        <v>1890</v>
      </c>
      <c r="H98" s="129" t="n">
        <v>1674</v>
      </c>
      <c r="I98" s="129" t="n">
        <v>216</v>
      </c>
      <c r="J98" s="130" t="n">
        <v>1181.38</v>
      </c>
      <c r="K98" s="130" t="n">
        <v>1195.64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環宇-KY(4991)</t>
        </is>
      </c>
      <c r="E99" s="129" t="n">
        <v>30</v>
      </c>
      <c r="F99" s="129" t="n">
        <v>25</v>
      </c>
      <c r="G99" s="129" t="n">
        <v>1580</v>
      </c>
      <c r="H99" s="129" t="n">
        <v>1325</v>
      </c>
      <c r="I99" s="129" t="n">
        <v>255</v>
      </c>
      <c r="J99" s="130" t="n">
        <v>526.7</v>
      </c>
      <c r="K99" s="130" t="n">
        <v>530.04</v>
      </c>
      <c r="L99" s="253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緯穎(6669)</t>
        </is>
      </c>
      <c r="E100" s="129" t="n">
        <v>7</v>
      </c>
      <c r="F100" s="129" t="n">
        <v>1</v>
      </c>
      <c r="G100" s="129" t="n">
        <v>1516</v>
      </c>
      <c r="H100" s="129" t="n">
        <v>117</v>
      </c>
      <c r="I100" s="129" t="n">
        <v>1399</v>
      </c>
      <c r="J100" s="130" t="n">
        <v>2166.43</v>
      </c>
      <c r="K100" s="130" t="n">
        <v>1170</v>
      </c>
      <c r="L100" s="254">
        <f>F100*(K100-J100)</f>
        <v/>
      </c>
    </row>
    <row r="101" ht="16.5" customHeight="1">
      <c r="A101" s="132" t="n"/>
      <c r="B101" s="125" t="inlineStr">
        <is>
          <t>常下分點</t>
        </is>
      </c>
      <c r="C101" s="125" t="inlineStr">
        <is>
          <t>分點代號</t>
        </is>
      </c>
      <c r="D101" s="125" t="inlineStr">
        <is>
          <t>標的</t>
        </is>
      </c>
      <c r="E101" s="125" t="inlineStr">
        <is>
          <t>買進(張)</t>
        </is>
      </c>
      <c r="F101" s="125" t="inlineStr">
        <is>
          <t>賣出(張)</t>
        </is>
      </c>
      <c r="G101" s="125" t="inlineStr">
        <is>
          <t>買進(萬元)</t>
        </is>
      </c>
      <c r="H101" s="125" t="inlineStr">
        <is>
          <t>賣出(萬元)</t>
        </is>
      </c>
      <c r="I101" s="125" t="inlineStr">
        <is>
          <t>淨買差(萬元)</t>
        </is>
      </c>
      <c r="J101" s="125" t="inlineStr">
        <is>
          <t>買均</t>
        </is>
      </c>
      <c r="K101" s="125" t="inlineStr">
        <is>
          <t>賣均</t>
        </is>
      </c>
      <c r="L101" s="125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218</v>
      </c>
      <c r="F102" s="129" t="n">
        <v>68</v>
      </c>
      <c r="G102" s="129" t="n">
        <v>112241</v>
      </c>
      <c r="H102" s="129" t="n">
        <v>34895</v>
      </c>
      <c r="I102" s="129" t="n">
        <v>77346</v>
      </c>
      <c r="J102" s="130" t="n">
        <v>5148.66</v>
      </c>
      <c r="K102" s="130" t="n">
        <v>5131.65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天品(6199)</t>
        </is>
      </c>
      <c r="E103" s="129" t="n">
        <v>1518</v>
      </c>
      <c r="F103" s="129" t="n">
        <v>1356</v>
      </c>
      <c r="G103" s="129" t="n">
        <v>20223</v>
      </c>
      <c r="H103" s="129" t="n">
        <v>18064</v>
      </c>
      <c r="I103" s="129" t="n">
        <v>2159</v>
      </c>
      <c r="J103" s="130" t="n">
        <v>133.22</v>
      </c>
      <c r="K103" s="130" t="n">
        <v>133.21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台達電(2308)</t>
        </is>
      </c>
      <c r="E104" s="129" t="n">
        <v>82</v>
      </c>
      <c r="F104" s="129" t="n">
        <v>41</v>
      </c>
      <c r="G104" s="129" t="n">
        <v>16284</v>
      </c>
      <c r="H104" s="129" t="n">
        <v>8100</v>
      </c>
      <c r="I104" s="129" t="n">
        <v>8184</v>
      </c>
      <c r="J104" s="130" t="n">
        <v>1985.91</v>
      </c>
      <c r="K104" s="130" t="n">
        <v>1975.63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欣興(3037)</t>
        </is>
      </c>
      <c r="E105" s="129" t="n">
        <v>106</v>
      </c>
      <c r="F105" s="129" t="n">
        <v>46</v>
      </c>
      <c r="G105" s="129" t="n">
        <v>14637</v>
      </c>
      <c r="H105" s="129" t="n">
        <v>6340</v>
      </c>
      <c r="I105" s="129" t="n">
        <v>8297</v>
      </c>
      <c r="J105" s="130" t="n">
        <v>1380.82</v>
      </c>
      <c r="K105" s="130" t="n">
        <v>1378.3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聯電(2303)</t>
        </is>
      </c>
      <c r="E106" s="129" t="n">
        <v>759</v>
      </c>
      <c r="F106" s="129" t="n">
        <v>366</v>
      </c>
      <c r="G106" s="129" t="n">
        <v>11751</v>
      </c>
      <c r="H106" s="129" t="n">
        <v>5716</v>
      </c>
      <c r="I106" s="129" t="n">
        <v>6035</v>
      </c>
      <c r="J106" s="130" t="n">
        <v>154.82</v>
      </c>
      <c r="K106" s="130" t="n">
        <v>156.19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鼎元(2426)</t>
        </is>
      </c>
      <c r="E107" s="129" t="n">
        <v>1016</v>
      </c>
      <c r="F107" s="129" t="n">
        <v>54</v>
      </c>
      <c r="G107" s="129" t="n">
        <v>11581</v>
      </c>
      <c r="H107" s="129" t="n">
        <v>611</v>
      </c>
      <c r="I107" s="129" t="n">
        <v>10970</v>
      </c>
      <c r="J107" s="130" t="n">
        <v>113.99</v>
      </c>
      <c r="K107" s="130" t="n">
        <v>113.13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穩懋(3105)</t>
        </is>
      </c>
      <c r="E108" s="129" t="n">
        <v>172</v>
      </c>
      <c r="F108" s="129" t="n">
        <v>73</v>
      </c>
      <c r="G108" s="129" t="n">
        <v>10628</v>
      </c>
      <c r="H108" s="129" t="n">
        <v>4498</v>
      </c>
      <c r="I108" s="129" t="n">
        <v>6130</v>
      </c>
      <c r="J108" s="130" t="n">
        <v>617.91</v>
      </c>
      <c r="K108" s="130" t="n">
        <v>616.12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台燿(6274)</t>
        </is>
      </c>
      <c r="E109" s="129" t="n">
        <v>58</v>
      </c>
      <c r="F109" s="129" t="n">
        <v>34</v>
      </c>
      <c r="G109" s="129" t="n">
        <v>10368</v>
      </c>
      <c r="H109" s="129" t="n">
        <v>6112</v>
      </c>
      <c r="I109" s="129" t="n">
        <v>4256</v>
      </c>
      <c r="J109" s="130" t="n">
        <v>1787.59</v>
      </c>
      <c r="K109" s="130" t="n">
        <v>1797.71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中砂(1560)</t>
        </is>
      </c>
      <c r="E110" s="129" t="n">
        <v>79</v>
      </c>
      <c r="F110" s="129" t="n">
        <v>1</v>
      </c>
      <c r="G110" s="129" t="n">
        <v>8243</v>
      </c>
      <c r="H110" s="129" t="n">
        <v>105</v>
      </c>
      <c r="I110" s="129" t="n">
        <v>8138</v>
      </c>
      <c r="J110" s="130" t="n">
        <v>1043.37</v>
      </c>
      <c r="K110" s="130" t="n">
        <v>1052</v>
      </c>
      <c r="L110" s="253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光聖(6442)</t>
        </is>
      </c>
      <c r="E111" s="129" t="n">
        <v>47</v>
      </c>
      <c r="F111" s="129" t="n">
        <v>11</v>
      </c>
      <c r="G111" s="129" t="n">
        <v>8085</v>
      </c>
      <c r="H111" s="129" t="n">
        <v>1894</v>
      </c>
      <c r="I111" s="129" t="n">
        <v>6191</v>
      </c>
      <c r="J111" s="130" t="n">
        <v>1720.28</v>
      </c>
      <c r="K111" s="130" t="n">
        <v>1721.73</v>
      </c>
      <c r="L111" s="253">
        <f>F111*(K111-J111)</f>
        <v/>
      </c>
    </row>
    <row r="112" ht="16.5" customHeight="1">
      <c r="A112" s="132" t="n"/>
      <c r="B112" s="125" t="inlineStr">
        <is>
          <t>常下分點</t>
        </is>
      </c>
      <c r="C112" s="125" t="inlineStr">
        <is>
          <t>分點代號</t>
        </is>
      </c>
      <c r="D112" s="125" t="inlineStr">
        <is>
          <t>標的</t>
        </is>
      </c>
      <c r="E112" s="125" t="inlineStr">
        <is>
          <t>買進(張)</t>
        </is>
      </c>
      <c r="F112" s="125" t="inlineStr">
        <is>
          <t>賣出(張)</t>
        </is>
      </c>
      <c r="G112" s="125" t="inlineStr">
        <is>
          <t>買進(萬元)</t>
        </is>
      </c>
      <c r="H112" s="125" t="inlineStr">
        <is>
          <t>賣出(萬元)</t>
        </is>
      </c>
      <c r="I112" s="125" t="inlineStr">
        <is>
          <t>淨買差(萬元)</t>
        </is>
      </c>
      <c r="J112" s="125" t="inlineStr">
        <is>
          <t>買均</t>
        </is>
      </c>
      <c r="K112" s="125" t="inlineStr">
        <is>
          <t>賣均</t>
        </is>
      </c>
      <c r="L112" s="125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南電(8046)</t>
        </is>
      </c>
      <c r="E113" s="129" t="n">
        <v>109</v>
      </c>
      <c r="F113" s="129" t="n">
        <v>9</v>
      </c>
      <c r="G113" s="129" t="n">
        <v>16704</v>
      </c>
      <c r="H113" s="129" t="n">
        <v>1298</v>
      </c>
      <c r="I113" s="129" t="n">
        <v>15406</v>
      </c>
      <c r="J113" s="130" t="n">
        <v>1532.48</v>
      </c>
      <c r="K113" s="130" t="n">
        <v>1441.78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友達(2409)</t>
        </is>
      </c>
      <c r="E114" s="129" t="n">
        <v>1636</v>
      </c>
      <c r="F114" s="129" t="n">
        <v>1062</v>
      </c>
      <c r="G114" s="129" t="n">
        <v>6664</v>
      </c>
      <c r="H114" s="129" t="n">
        <v>4321</v>
      </c>
      <c r="I114" s="129" t="n">
        <v>2343</v>
      </c>
      <c r="J114" s="130" t="n">
        <v>40.74</v>
      </c>
      <c r="K114" s="130" t="n">
        <v>40.69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合晶(6182)</t>
        </is>
      </c>
      <c r="E115" s="129" t="n">
        <v>473</v>
      </c>
      <c r="F115" s="129" t="n">
        <v>74</v>
      </c>
      <c r="G115" s="129" t="n">
        <v>6334</v>
      </c>
      <c r="H115" s="129" t="n">
        <v>999</v>
      </c>
      <c r="I115" s="129" t="n">
        <v>5335</v>
      </c>
      <c r="J115" s="130" t="n">
        <v>133.91</v>
      </c>
      <c r="K115" s="130" t="n">
        <v>135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聯電(2303)</t>
        </is>
      </c>
      <c r="E116" s="129" t="n">
        <v>292</v>
      </c>
      <c r="F116" s="129" t="n">
        <v>169</v>
      </c>
      <c r="G116" s="129" t="n">
        <v>4526</v>
      </c>
      <c r="H116" s="129" t="n">
        <v>2607</v>
      </c>
      <c r="I116" s="129" t="n">
        <v>1919</v>
      </c>
      <c r="J116" s="130" t="n">
        <v>154.99</v>
      </c>
      <c r="K116" s="130" t="n">
        <v>154.27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國巨*(2327)</t>
        </is>
      </c>
      <c r="E117" s="129" t="n">
        <v>43</v>
      </c>
      <c r="F117" s="129" t="n">
        <v>24</v>
      </c>
      <c r="G117" s="129" t="n">
        <v>2760</v>
      </c>
      <c r="H117" s="129" t="n">
        <v>1555</v>
      </c>
      <c r="I117" s="129" t="n">
        <v>1205</v>
      </c>
      <c r="J117" s="130" t="n">
        <v>641.74</v>
      </c>
      <c r="K117" s="130" t="n">
        <v>647.92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華新科(2492)</t>
        </is>
      </c>
      <c r="E118" s="129" t="n">
        <v>50</v>
      </c>
      <c r="F118" s="129" t="n">
        <v>22</v>
      </c>
      <c r="G118" s="129" t="n">
        <v>1876</v>
      </c>
      <c r="H118" s="129" t="n">
        <v>833</v>
      </c>
      <c r="I118" s="129" t="n">
        <v>1043</v>
      </c>
      <c r="J118" s="130" t="n">
        <v>375.28</v>
      </c>
      <c r="K118" s="130" t="n">
        <v>378.73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環球晶(6488)</t>
        </is>
      </c>
      <c r="E119" s="129" t="n">
        <v>15</v>
      </c>
      <c r="F119" s="129" t="n">
        <v>8</v>
      </c>
      <c r="G119" s="129" t="n">
        <v>1775</v>
      </c>
      <c r="H119" s="129" t="n">
        <v>982</v>
      </c>
      <c r="I119" s="129" t="n">
        <v>793</v>
      </c>
      <c r="J119" s="130" t="n">
        <v>1183.2</v>
      </c>
      <c r="K119" s="130" t="n">
        <v>1228.12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永光(1711)</t>
        </is>
      </c>
      <c r="E120" s="129" t="n">
        <v>371</v>
      </c>
      <c r="F120" s="129" t="n">
        <v>9</v>
      </c>
      <c r="G120" s="129" t="n">
        <v>1662</v>
      </c>
      <c r="H120" s="129" t="n">
        <v>40</v>
      </c>
      <c r="I120" s="129" t="n">
        <v>1622</v>
      </c>
      <c r="J120" s="130" t="n">
        <v>44.8</v>
      </c>
      <c r="K120" s="130" t="n">
        <v>44.78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穩懋(3105)</t>
        </is>
      </c>
      <c r="E121" s="129" t="n">
        <v>21</v>
      </c>
      <c r="F121" s="129" t="n">
        <v>13</v>
      </c>
      <c r="G121" s="129" t="n">
        <v>1319</v>
      </c>
      <c r="H121" s="129" t="n">
        <v>772</v>
      </c>
      <c r="I121" s="129" t="n">
        <v>547</v>
      </c>
      <c r="J121" s="130" t="n">
        <v>628</v>
      </c>
      <c r="K121" s="130" t="n">
        <v>593.77</v>
      </c>
      <c r="L121" s="254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臻鼎-KY(4958)</t>
        </is>
      </c>
      <c r="E122" s="129" t="n">
        <v>21</v>
      </c>
      <c r="F122" s="129" t="n">
        <v>16</v>
      </c>
      <c r="G122" s="129" t="n">
        <v>1230</v>
      </c>
      <c r="H122" s="129" t="n">
        <v>918</v>
      </c>
      <c r="I122" s="129" t="n">
        <v>312</v>
      </c>
      <c r="J122" s="130" t="n">
        <v>585.48</v>
      </c>
      <c r="K122" s="130" t="n">
        <v>573.5599999999999</v>
      </c>
      <c r="L122" s="254">
        <f>F122*(K122-J122)</f>
        <v/>
      </c>
    </row>
    <row r="123" ht="16.5" customHeight="1">
      <c r="A123" s="132" t="n"/>
      <c r="B123" s="125" t="inlineStr">
        <is>
          <t>常下分點</t>
        </is>
      </c>
      <c r="C123" s="125" t="inlineStr">
        <is>
          <t>分點代號</t>
        </is>
      </c>
      <c r="D123" s="125" t="inlineStr">
        <is>
          <t>標的</t>
        </is>
      </c>
      <c r="E123" s="125" t="inlineStr">
        <is>
          <t>買進(張)</t>
        </is>
      </c>
      <c r="F123" s="125" t="inlineStr">
        <is>
          <t>賣出(張)</t>
        </is>
      </c>
      <c r="G123" s="125" t="inlineStr">
        <is>
          <t>買進(萬元)</t>
        </is>
      </c>
      <c r="H123" s="125" t="inlineStr">
        <is>
          <t>賣出(萬元)</t>
        </is>
      </c>
      <c r="I123" s="125" t="inlineStr">
        <is>
          <t>淨買差(萬元)</t>
        </is>
      </c>
      <c r="J123" s="125" t="inlineStr">
        <is>
          <t>買均</t>
        </is>
      </c>
      <c r="K123" s="125" t="inlineStr">
        <is>
          <t>賣均</t>
        </is>
      </c>
      <c r="L123" s="125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友達(2409)</t>
        </is>
      </c>
      <c r="E124" s="129" t="n">
        <v>2483</v>
      </c>
      <c r="F124" s="129" t="n">
        <v>972</v>
      </c>
      <c r="G124" s="129" t="n">
        <v>9985</v>
      </c>
      <c r="H124" s="129" t="n">
        <v>4070</v>
      </c>
      <c r="I124" s="129" t="n">
        <v>5915</v>
      </c>
      <c r="J124" s="130" t="n">
        <v>40.21</v>
      </c>
      <c r="K124" s="130" t="n">
        <v>41.87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環球晶(6488)</t>
        </is>
      </c>
      <c r="E125" s="129" t="n">
        <v>47</v>
      </c>
      <c r="F125" s="129" t="n">
        <v>35</v>
      </c>
      <c r="G125" s="129" t="n">
        <v>5544</v>
      </c>
      <c r="H125" s="129" t="n">
        <v>4184</v>
      </c>
      <c r="I125" s="129" t="n">
        <v>1360</v>
      </c>
      <c r="J125" s="130" t="n">
        <v>1179.47</v>
      </c>
      <c r="K125" s="130" t="n">
        <v>1195.31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臻鼎-KY(4958)</t>
        </is>
      </c>
      <c r="E126" s="129" t="n">
        <v>79</v>
      </c>
      <c r="F126" s="129" t="n">
        <v>31</v>
      </c>
      <c r="G126" s="129" t="n">
        <v>4591</v>
      </c>
      <c r="H126" s="129" t="n">
        <v>1816</v>
      </c>
      <c r="I126" s="129" t="n">
        <v>2775</v>
      </c>
      <c r="J126" s="130" t="n">
        <v>581.16</v>
      </c>
      <c r="K126" s="130" t="n">
        <v>585.74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昇達科(3491)</t>
        </is>
      </c>
      <c r="E127" s="129" t="n">
        <v>26</v>
      </c>
      <c r="F127" s="129" t="n">
        <v>4</v>
      </c>
      <c r="G127" s="129" t="n">
        <v>4093</v>
      </c>
      <c r="H127" s="129" t="n">
        <v>620</v>
      </c>
      <c r="I127" s="129" t="n">
        <v>3473</v>
      </c>
      <c r="J127" s="130" t="n">
        <v>1574.19</v>
      </c>
      <c r="K127" s="130" t="n">
        <v>1549.25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群創(3481)</t>
        </is>
      </c>
      <c r="E128" s="129" t="n">
        <v>436</v>
      </c>
      <c r="F128" s="129" t="n">
        <v>370</v>
      </c>
      <c r="G128" s="129" t="n">
        <v>2332</v>
      </c>
      <c r="H128" s="129" t="n">
        <v>2035</v>
      </c>
      <c r="I128" s="129" t="n">
        <v>297</v>
      </c>
      <c r="J128" s="130" t="n">
        <v>53.47</v>
      </c>
      <c r="K128" s="130" t="n">
        <v>55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順達(3211)</t>
        </is>
      </c>
      <c r="E129" s="129" t="n">
        <v>57</v>
      </c>
      <c r="F129" s="129" t="n">
        <v>32</v>
      </c>
      <c r="G129" s="129" t="n">
        <v>2279</v>
      </c>
      <c r="H129" s="129" t="n">
        <v>1278</v>
      </c>
      <c r="I129" s="129" t="n">
        <v>1001</v>
      </c>
      <c r="J129" s="130" t="n">
        <v>399.75</v>
      </c>
      <c r="K129" s="130" t="n">
        <v>399.22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國巨*(2327)</t>
        </is>
      </c>
      <c r="E130" s="129" t="n">
        <v>34</v>
      </c>
      <c r="F130" s="129" t="n">
        <v>28</v>
      </c>
      <c r="G130" s="129" t="n">
        <v>2126</v>
      </c>
      <c r="H130" s="129" t="n">
        <v>1734</v>
      </c>
      <c r="I130" s="129" t="n">
        <v>392</v>
      </c>
      <c r="J130" s="130" t="n">
        <v>625.41</v>
      </c>
      <c r="K130" s="130" t="n">
        <v>619.29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大量(3167)</t>
        </is>
      </c>
      <c r="E131" s="129" t="n">
        <v>21</v>
      </c>
      <c r="F131" s="129" t="n">
        <v>2</v>
      </c>
      <c r="G131" s="129" t="n">
        <v>2116</v>
      </c>
      <c r="H131" s="129" t="n">
        <v>197</v>
      </c>
      <c r="I131" s="129" t="n">
        <v>1919</v>
      </c>
      <c r="J131" s="130" t="n">
        <v>1007.38</v>
      </c>
      <c r="K131" s="130" t="n">
        <v>984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環宇-KY(4991)</t>
        </is>
      </c>
      <c r="E132" s="129" t="n">
        <v>30</v>
      </c>
      <c r="F132" s="129" t="n">
        <v>24</v>
      </c>
      <c r="G132" s="129" t="n">
        <v>1559</v>
      </c>
      <c r="H132" s="129" t="n">
        <v>1282</v>
      </c>
      <c r="I132" s="129" t="n">
        <v>277</v>
      </c>
      <c r="J132" s="130" t="n">
        <v>519.53</v>
      </c>
      <c r="K132" s="130" t="n">
        <v>534.29</v>
      </c>
      <c r="L132" s="253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1430</v>
      </c>
      <c r="H133" s="129" t="n">
        <v>215</v>
      </c>
      <c r="I133" s="129" t="n">
        <v>1215</v>
      </c>
      <c r="J133" s="130" t="n">
        <v>7148.5</v>
      </c>
      <c r="K133" s="130" t="n">
        <v>2150</v>
      </c>
      <c r="L133" s="254">
        <f>F133*(K133-J133)</f>
        <v/>
      </c>
    </row>
    <row r="134" ht="16.5" customHeight="1">
      <c r="A134" s="132" t="n"/>
      <c r="B134" s="125" t="inlineStr">
        <is>
          <t>常下分點</t>
        </is>
      </c>
      <c r="C134" s="125" t="inlineStr">
        <is>
          <t>分點代號</t>
        </is>
      </c>
      <c r="D134" s="125" t="inlineStr">
        <is>
          <t>標的</t>
        </is>
      </c>
      <c r="E134" s="125" t="inlineStr">
        <is>
          <t>買進(張)</t>
        </is>
      </c>
      <c r="F134" s="125" t="inlineStr">
        <is>
          <t>賣出(張)</t>
        </is>
      </c>
      <c r="G134" s="125" t="inlineStr">
        <is>
          <t>買進(萬元)</t>
        </is>
      </c>
      <c r="H134" s="125" t="inlineStr">
        <is>
          <t>賣出(萬元)</t>
        </is>
      </c>
      <c r="I134" s="125" t="inlineStr">
        <is>
          <t>淨買差(萬元)</t>
        </is>
      </c>
      <c r="J134" s="125" t="inlineStr">
        <is>
          <t>買均</t>
        </is>
      </c>
      <c r="K134" s="125" t="inlineStr">
        <is>
          <t>賣均</t>
        </is>
      </c>
      <c r="L134" s="125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450</v>
      </c>
      <c r="F135" s="129" t="n">
        <v>307</v>
      </c>
      <c r="G135" s="129" t="n">
        <v>115757</v>
      </c>
      <c r="H135" s="129" t="n">
        <v>78981</v>
      </c>
      <c r="I135" s="129" t="n">
        <v>36776</v>
      </c>
      <c r="J135" s="130" t="n">
        <v>2572.37</v>
      </c>
      <c r="K135" s="130" t="n">
        <v>2572.66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南亞科(2408)</t>
        </is>
      </c>
      <c r="E136" s="129" t="n">
        <v>1508</v>
      </c>
      <c r="F136" s="129" t="n">
        <v>440</v>
      </c>
      <c r="G136" s="129" t="n">
        <v>79779</v>
      </c>
      <c r="H136" s="129" t="n">
        <v>23004</v>
      </c>
      <c r="I136" s="129" t="n">
        <v>56775</v>
      </c>
      <c r="J136" s="130" t="n">
        <v>529.04</v>
      </c>
      <c r="K136" s="130" t="n">
        <v>522.8200000000001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景碩(3189)</t>
        </is>
      </c>
      <c r="E137" s="129" t="n">
        <v>686</v>
      </c>
      <c r="F137" s="129" t="n">
        <v>395</v>
      </c>
      <c r="G137" s="129" t="n">
        <v>75147</v>
      </c>
      <c r="H137" s="129" t="n">
        <v>43212</v>
      </c>
      <c r="I137" s="129" t="n">
        <v>31935</v>
      </c>
      <c r="J137" s="130" t="n">
        <v>1095.44</v>
      </c>
      <c r="K137" s="130" t="n">
        <v>1093.98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智邦(2345)</t>
        </is>
      </c>
      <c r="E138" s="129" t="n">
        <v>321</v>
      </c>
      <c r="F138" s="129" t="n">
        <v>167</v>
      </c>
      <c r="G138" s="129" t="n">
        <v>66549</v>
      </c>
      <c r="H138" s="129" t="n">
        <v>34670</v>
      </c>
      <c r="I138" s="129" t="n">
        <v>31879</v>
      </c>
      <c r="J138" s="130" t="n">
        <v>2073.17</v>
      </c>
      <c r="K138" s="130" t="n">
        <v>2076.02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奇鋐(3017)</t>
        </is>
      </c>
      <c r="E139" s="129" t="n">
        <v>172</v>
      </c>
      <c r="F139" s="129" t="n">
        <v>113</v>
      </c>
      <c r="G139" s="129" t="n">
        <v>61687</v>
      </c>
      <c r="H139" s="129" t="n">
        <v>40398</v>
      </c>
      <c r="I139" s="129" t="n">
        <v>21289</v>
      </c>
      <c r="J139" s="130" t="n">
        <v>3586.48</v>
      </c>
      <c r="K139" s="130" t="n">
        <v>3575.04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華新科(2492)</t>
        </is>
      </c>
      <c r="E140" s="129" t="n">
        <v>1628</v>
      </c>
      <c r="F140" s="129" t="n">
        <v>1432</v>
      </c>
      <c r="G140" s="129" t="n">
        <v>59993</v>
      </c>
      <c r="H140" s="129" t="n">
        <v>52751</v>
      </c>
      <c r="I140" s="129" t="n">
        <v>7242</v>
      </c>
      <c r="J140" s="130" t="n">
        <v>368.51</v>
      </c>
      <c r="K140" s="130" t="n">
        <v>368.38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台燿(6274)</t>
        </is>
      </c>
      <c r="E141" s="129" t="n">
        <v>334</v>
      </c>
      <c r="F141" s="129" t="n">
        <v>125</v>
      </c>
      <c r="G141" s="129" t="n">
        <v>59386</v>
      </c>
      <c r="H141" s="129" t="n">
        <v>22238</v>
      </c>
      <c r="I141" s="129" t="n">
        <v>37148</v>
      </c>
      <c r="J141" s="130" t="n">
        <v>1778.04</v>
      </c>
      <c r="K141" s="130" t="n">
        <v>1779.07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聯茂(6213)</t>
        </is>
      </c>
      <c r="E142" s="129" t="n">
        <v>759</v>
      </c>
      <c r="F142" s="129" t="n">
        <v>454</v>
      </c>
      <c r="G142" s="129" t="n">
        <v>57002</v>
      </c>
      <c r="H142" s="129" t="n">
        <v>34112</v>
      </c>
      <c r="I142" s="129" t="n">
        <v>22890</v>
      </c>
      <c r="J142" s="130" t="n">
        <v>751.01</v>
      </c>
      <c r="K142" s="130" t="n">
        <v>751.37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南亞(1303)</t>
        </is>
      </c>
      <c r="E143" s="129" t="n">
        <v>1799</v>
      </c>
      <c r="F143" s="129" t="n">
        <v>1247</v>
      </c>
      <c r="G143" s="129" t="n">
        <v>50455</v>
      </c>
      <c r="H143" s="129" t="n">
        <v>34488</v>
      </c>
      <c r="I143" s="129" t="n">
        <v>15967</v>
      </c>
      <c r="J143" s="130" t="n">
        <v>280.46</v>
      </c>
      <c r="K143" s="130" t="n">
        <v>276.57</v>
      </c>
      <c r="L143" s="254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金像電(2368)</t>
        </is>
      </c>
      <c r="E144" s="129" t="n">
        <v>267</v>
      </c>
      <c r="F144" s="129" t="n">
        <v>77</v>
      </c>
      <c r="G144" s="129" t="n">
        <v>32452</v>
      </c>
      <c r="H144" s="129" t="n">
        <v>9348</v>
      </c>
      <c r="I144" s="129" t="n">
        <v>23104</v>
      </c>
      <c r="J144" s="130" t="n">
        <v>1215.43</v>
      </c>
      <c r="K144" s="130" t="n">
        <v>1214.04</v>
      </c>
      <c r="L144" s="254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4" t="inlineStr">
        <is>
          <t>陳族元</t>
        </is>
      </c>
      <c r="B146" s="135" t="inlineStr">
        <is>
          <t>國泰證券</t>
        </is>
      </c>
      <c r="C146" s="135" t="inlineStr">
        <is>
          <t>8880</t>
        </is>
      </c>
      <c r="D146" s="136" t="inlineStr">
        <is>
          <t>國巨*(2327)</t>
        </is>
      </c>
      <c r="E146" s="137" t="n">
        <v>2300</v>
      </c>
      <c r="F146" s="137" t="n">
        <v>147</v>
      </c>
      <c r="G146" s="137" t="n">
        <v>146393</v>
      </c>
      <c r="H146" s="137" t="n">
        <v>9286</v>
      </c>
      <c r="I146" s="137" t="n">
        <v>137107</v>
      </c>
      <c r="J146" s="138" t="n">
        <v>636.49</v>
      </c>
      <c r="K146" s="138" t="n">
        <v>631.71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聯亞(3081)</t>
        </is>
      </c>
      <c r="E147" s="137" t="n">
        <v>375</v>
      </c>
      <c r="F147" s="137" t="n">
        <v>7</v>
      </c>
      <c r="G147" s="137" t="n">
        <v>113747</v>
      </c>
      <c r="H147" s="137" t="n">
        <v>2175</v>
      </c>
      <c r="I147" s="137" t="n">
        <v>111572</v>
      </c>
      <c r="J147" s="138" t="n">
        <v>3033.26</v>
      </c>
      <c r="K147" s="138" t="n">
        <v>3107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台積電(2330)</t>
        </is>
      </c>
      <c r="E148" s="137" t="n">
        <v>262</v>
      </c>
      <c r="F148" s="137" t="n">
        <v>111</v>
      </c>
      <c r="G148" s="137" t="n">
        <v>67289</v>
      </c>
      <c r="H148" s="137" t="n">
        <v>28463</v>
      </c>
      <c r="I148" s="137" t="n">
        <v>38826</v>
      </c>
      <c r="J148" s="138" t="n">
        <v>2568.29</v>
      </c>
      <c r="K148" s="138" t="n">
        <v>2564.23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世芯-KY(3661)</t>
        </is>
      </c>
      <c r="E149" s="137" t="n">
        <v>163</v>
      </c>
      <c r="F149" s="137" t="n">
        <v>3</v>
      </c>
      <c r="G149" s="137" t="n">
        <v>64932</v>
      </c>
      <c r="H149" s="137" t="n">
        <v>1268</v>
      </c>
      <c r="I149" s="137" t="n">
        <v>63664</v>
      </c>
      <c r="J149" s="138" t="n">
        <v>3983.53</v>
      </c>
      <c r="K149" s="138" t="n">
        <v>4228.33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健策(3653)</t>
        </is>
      </c>
      <c r="E150" s="137" t="n">
        <v>86</v>
      </c>
      <c r="F150" s="137" t="n">
        <v>15</v>
      </c>
      <c r="G150" s="137" t="n">
        <v>62180</v>
      </c>
      <c r="H150" s="137" t="n">
        <v>11164</v>
      </c>
      <c r="I150" s="137" t="n">
        <v>51016</v>
      </c>
      <c r="J150" s="138" t="n">
        <v>7230.29</v>
      </c>
      <c r="K150" s="138" t="n">
        <v>7442.53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嘉澤(3533)</t>
        </is>
      </c>
      <c r="E151" s="137" t="n">
        <v>258</v>
      </c>
      <c r="F151" s="137" t="n">
        <v>2</v>
      </c>
      <c r="G151" s="137" t="n">
        <v>48667</v>
      </c>
      <c r="H151" s="137" t="n">
        <v>376</v>
      </c>
      <c r="I151" s="137" t="n">
        <v>48291</v>
      </c>
      <c r="J151" s="138" t="n">
        <v>1886.31</v>
      </c>
      <c r="K151" s="138" t="n">
        <v>1879.5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富喬(1815)</t>
        </is>
      </c>
      <c r="E152" s="137" t="n">
        <v>3609</v>
      </c>
      <c r="F152" s="137" t="n">
        <v>165</v>
      </c>
      <c r="G152" s="137" t="n">
        <v>45830</v>
      </c>
      <c r="H152" s="137" t="n">
        <v>2081</v>
      </c>
      <c r="I152" s="137" t="n">
        <v>43749</v>
      </c>
      <c r="J152" s="138" t="n">
        <v>126.99</v>
      </c>
      <c r="K152" s="138" t="n">
        <v>126.1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臻鼎-KY(4958)</t>
        </is>
      </c>
      <c r="E153" s="137" t="n">
        <v>716</v>
      </c>
      <c r="F153" s="137" t="n">
        <v>43</v>
      </c>
      <c r="G153" s="137" t="n">
        <v>41606</v>
      </c>
      <c r="H153" s="137" t="n">
        <v>2467</v>
      </c>
      <c r="I153" s="137" t="n">
        <v>39139</v>
      </c>
      <c r="J153" s="138" t="n">
        <v>581.09</v>
      </c>
      <c r="K153" s="138" t="n">
        <v>573.79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穩懋(3105)</t>
        </is>
      </c>
      <c r="E154" s="137" t="n">
        <v>466</v>
      </c>
      <c r="F154" s="137" t="n">
        <v>65</v>
      </c>
      <c r="G154" s="137" t="n">
        <v>28826</v>
      </c>
      <c r="H154" s="137" t="n">
        <v>3988</v>
      </c>
      <c r="I154" s="137" t="n">
        <v>24838</v>
      </c>
      <c r="J154" s="138" t="n">
        <v>618.59</v>
      </c>
      <c r="K154" s="138" t="n">
        <v>613.55</v>
      </c>
      <c r="L154" s="254">
        <f>F154*(K154-J154)</f>
        <v/>
      </c>
    </row>
    <row r="155" ht="16.5" customHeight="1">
      <c r="A155" s="139" t="n"/>
      <c r="B155" s="139" t="n"/>
      <c r="C155" s="139" t="n"/>
      <c r="D155" s="136" t="inlineStr">
        <is>
          <t>技嘉(2376)</t>
        </is>
      </c>
      <c r="E155" s="137" t="n">
        <v>570</v>
      </c>
      <c r="F155" s="137" t="n">
        <v>210</v>
      </c>
      <c r="G155" s="137" t="n">
        <v>22113</v>
      </c>
      <c r="H155" s="137" t="n">
        <v>8130</v>
      </c>
      <c r="I155" s="137" t="n">
        <v>13983</v>
      </c>
      <c r="J155" s="138" t="n">
        <v>387.94</v>
      </c>
      <c r="K155" s="138" t="n">
        <v>387.14</v>
      </c>
      <c r="L155" s="254">
        <f>F155*(K155-J155)</f>
        <v/>
      </c>
    </row>
    <row r="156" ht="16.5" customHeight="1">
      <c r="A156" s="140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9" t="n"/>
      <c r="B157" s="135" t="inlineStr">
        <is>
          <t>華南永昌證券</t>
        </is>
      </c>
      <c r="C157" s="135" t="inlineStr">
        <is>
          <t>9300</t>
        </is>
      </c>
      <c r="D157" s="136" t="inlineStr">
        <is>
          <t>愛普*(6531)</t>
        </is>
      </c>
      <c r="E157" s="137" t="n">
        <v>354</v>
      </c>
      <c r="F157" s="137" t="n">
        <v>12</v>
      </c>
      <c r="G157" s="137" t="n">
        <v>37337</v>
      </c>
      <c r="H157" s="137" t="n">
        <v>1241</v>
      </c>
      <c r="I157" s="137" t="n">
        <v>36096</v>
      </c>
      <c r="J157" s="138" t="n">
        <v>1054.72</v>
      </c>
      <c r="K157" s="138" t="n">
        <v>1034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智邦(2345)</t>
        </is>
      </c>
      <c r="E158" s="137" t="n">
        <v>94</v>
      </c>
      <c r="F158" s="137" t="n">
        <v>18</v>
      </c>
      <c r="G158" s="137" t="n">
        <v>19447</v>
      </c>
      <c r="H158" s="137" t="n">
        <v>3727</v>
      </c>
      <c r="I158" s="137" t="n">
        <v>15720</v>
      </c>
      <c r="J158" s="138" t="n">
        <v>2068.81</v>
      </c>
      <c r="K158" s="138" t="n">
        <v>2070.78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雙鴻(3324)</t>
        </is>
      </c>
      <c r="E159" s="137" t="n">
        <v>109</v>
      </c>
      <c r="F159" s="137" t="n">
        <v>5</v>
      </c>
      <c r="G159" s="137" t="n">
        <v>16819</v>
      </c>
      <c r="H159" s="137" t="n">
        <v>792</v>
      </c>
      <c r="I159" s="137" t="n">
        <v>16027</v>
      </c>
      <c r="J159" s="138" t="n">
        <v>1543.03</v>
      </c>
      <c r="K159" s="138" t="n">
        <v>1583</v>
      </c>
      <c r="L159" s="253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國巨*(2327)</t>
        </is>
      </c>
      <c r="E160" s="137" t="n">
        <v>221</v>
      </c>
      <c r="F160" s="137" t="n">
        <v>143</v>
      </c>
      <c r="G160" s="137" t="n">
        <v>14158</v>
      </c>
      <c r="H160" s="137" t="n">
        <v>9048</v>
      </c>
      <c r="I160" s="137" t="n">
        <v>5110</v>
      </c>
      <c r="J160" s="138" t="n">
        <v>640.61</v>
      </c>
      <c r="K160" s="138" t="n">
        <v>632.74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旺矽(6223)</t>
        </is>
      </c>
      <c r="E161" s="137" t="n">
        <v>24</v>
      </c>
      <c r="F161" s="137" t="n">
        <v>19</v>
      </c>
      <c r="G161" s="137" t="n">
        <v>13158</v>
      </c>
      <c r="H161" s="137" t="n">
        <v>10482</v>
      </c>
      <c r="I161" s="137" t="n">
        <v>2676</v>
      </c>
      <c r="J161" s="138" t="n">
        <v>5482.29</v>
      </c>
      <c r="K161" s="138" t="n">
        <v>5517.05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健策(3653)</t>
        </is>
      </c>
      <c r="E162" s="137" t="n">
        <v>17</v>
      </c>
      <c r="F162" s="137" t="n">
        <v>1</v>
      </c>
      <c r="G162" s="137" t="n">
        <v>12229</v>
      </c>
      <c r="H162" s="137" t="n">
        <v>344</v>
      </c>
      <c r="I162" s="137" t="n">
        <v>11885</v>
      </c>
      <c r="J162" s="138" t="n">
        <v>7193.59</v>
      </c>
      <c r="K162" s="138" t="n">
        <v>3440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光聖(6442)</t>
        </is>
      </c>
      <c r="E163" s="137" t="n">
        <v>69</v>
      </c>
      <c r="F163" s="137" t="n">
        <v>6</v>
      </c>
      <c r="G163" s="137" t="n">
        <v>11970</v>
      </c>
      <c r="H163" s="137" t="n">
        <v>1072</v>
      </c>
      <c r="I163" s="137" t="n">
        <v>10898</v>
      </c>
      <c r="J163" s="138" t="n">
        <v>1734.8</v>
      </c>
      <c r="K163" s="138" t="n">
        <v>1786.5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台灣大(3045)</t>
        </is>
      </c>
      <c r="E164" s="137" t="n">
        <v>928</v>
      </c>
      <c r="F164" s="137" t="n">
        <v>299</v>
      </c>
      <c r="G164" s="137" t="n">
        <v>11338</v>
      </c>
      <c r="H164" s="137" t="n">
        <v>3663</v>
      </c>
      <c r="I164" s="137" t="n">
        <v>7675</v>
      </c>
      <c r="J164" s="138" t="n">
        <v>122.17</v>
      </c>
      <c r="K164" s="138" t="n">
        <v>122.5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南電(8046)</t>
        </is>
      </c>
      <c r="E165" s="137" t="n">
        <v>73</v>
      </c>
      <c r="F165" s="137" t="n">
        <v>61</v>
      </c>
      <c r="G165" s="137" t="n">
        <v>10944</v>
      </c>
      <c r="H165" s="137" t="n">
        <v>9058</v>
      </c>
      <c r="I165" s="137" t="n">
        <v>1886</v>
      </c>
      <c r="J165" s="138" t="n">
        <v>1499.19</v>
      </c>
      <c r="K165" s="138" t="n">
        <v>1484.89</v>
      </c>
      <c r="L165" s="254">
        <f>F165*(K165-J165)</f>
        <v/>
      </c>
    </row>
    <row r="166" ht="16.5" customHeight="1">
      <c r="A166" s="139" t="n"/>
      <c r="B166" s="139" t="n"/>
      <c r="C166" s="139" t="n"/>
      <c r="D166" s="136" t="inlineStr">
        <is>
          <t>友達(2409)</t>
        </is>
      </c>
      <c r="E166" s="137" t="n">
        <v>2653</v>
      </c>
      <c r="F166" s="137" t="n">
        <v>1531</v>
      </c>
      <c r="G166" s="137" t="n">
        <v>10780</v>
      </c>
      <c r="H166" s="137" t="n">
        <v>6239</v>
      </c>
      <c r="I166" s="137" t="n">
        <v>4541</v>
      </c>
      <c r="J166" s="138" t="n">
        <v>40.63</v>
      </c>
      <c r="K166" s="138" t="n">
        <v>40.75</v>
      </c>
      <c r="L166" s="253">
        <f>F166*(K166-J166)</f>
        <v/>
      </c>
    </row>
    <row r="167" ht="16.5" customHeight="1">
      <c r="A167" s="140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9" t="n"/>
      <c r="B168" s="135" t="inlineStr">
        <is>
          <t>凱基-信義</t>
        </is>
      </c>
      <c r="C168" s="135" t="inlineStr">
        <is>
          <t>9216</t>
        </is>
      </c>
      <c r="D168" s="136" t="inlineStr">
        <is>
          <t>玉晶光(3406)</t>
        </is>
      </c>
      <c r="E168" s="137" t="n">
        <v>1048</v>
      </c>
      <c r="F168" s="137" t="n">
        <v>1</v>
      </c>
      <c r="G168" s="137" t="n">
        <v>110171</v>
      </c>
      <c r="H168" s="137" t="n">
        <v>111</v>
      </c>
      <c r="I168" s="137" t="n">
        <v>110060</v>
      </c>
      <c r="J168" s="138" t="n">
        <v>1051.25</v>
      </c>
      <c r="K168" s="138" t="n">
        <v>1107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南亞(1303)</t>
        </is>
      </c>
      <c r="E169" s="137" t="n">
        <v>3132</v>
      </c>
      <c r="F169" s="137" t="n">
        <v>106</v>
      </c>
      <c r="G169" s="137" t="n">
        <v>89479</v>
      </c>
      <c r="H169" s="137" t="n">
        <v>2953</v>
      </c>
      <c r="I169" s="137" t="n">
        <v>86526</v>
      </c>
      <c r="J169" s="138" t="n">
        <v>285.69</v>
      </c>
      <c r="K169" s="138" t="n">
        <v>278.55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聯發科(2454)</t>
        </is>
      </c>
      <c r="E170" s="137" t="n">
        <v>144</v>
      </c>
      <c r="F170" s="137" t="n">
        <v>8</v>
      </c>
      <c r="G170" s="137" t="n">
        <v>73463</v>
      </c>
      <c r="H170" s="137" t="n">
        <v>4050</v>
      </c>
      <c r="I170" s="137" t="n">
        <v>69413</v>
      </c>
      <c r="J170" s="138" t="n">
        <v>5101.57</v>
      </c>
      <c r="K170" s="138" t="n">
        <v>5062.25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華通(2313)</t>
        </is>
      </c>
      <c r="E171" s="137" t="n">
        <v>1459</v>
      </c>
      <c r="F171" s="137" t="n">
        <v>84</v>
      </c>
      <c r="G171" s="137" t="n">
        <v>35878</v>
      </c>
      <c r="H171" s="137" t="n">
        <v>2071</v>
      </c>
      <c r="I171" s="137" t="n">
        <v>33807</v>
      </c>
      <c r="J171" s="138" t="n">
        <v>245.91</v>
      </c>
      <c r="K171" s="138" t="n">
        <v>246.58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智邦(2345)</t>
        </is>
      </c>
      <c r="E172" s="137" t="n">
        <v>168</v>
      </c>
      <c r="F172" s="137" t="n">
        <v>3</v>
      </c>
      <c r="G172" s="137" t="n">
        <v>34710</v>
      </c>
      <c r="H172" s="137" t="n">
        <v>630</v>
      </c>
      <c r="I172" s="137" t="n">
        <v>34080</v>
      </c>
      <c r="J172" s="138" t="n">
        <v>2066.1</v>
      </c>
      <c r="K172" s="138" t="n">
        <v>2099.33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精材(3374)</t>
        </is>
      </c>
      <c r="E173" s="137" t="n">
        <v>418</v>
      </c>
      <c r="F173" s="137" t="n">
        <v>1</v>
      </c>
      <c r="G173" s="137" t="n">
        <v>20812</v>
      </c>
      <c r="H173" s="137" t="n">
        <v>50</v>
      </c>
      <c r="I173" s="137" t="n">
        <v>20762</v>
      </c>
      <c r="J173" s="138" t="n">
        <v>497.89</v>
      </c>
      <c r="K173" s="138" t="n">
        <v>500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大立光(3008)</t>
        </is>
      </c>
      <c r="E174" s="137" t="n">
        <v>26</v>
      </c>
      <c r="F174" s="137" t="n">
        <v>1</v>
      </c>
      <c r="G174" s="137" t="n">
        <v>17534</v>
      </c>
      <c r="H174" s="137" t="n">
        <v>754</v>
      </c>
      <c r="I174" s="137" t="n">
        <v>16780</v>
      </c>
      <c r="J174" s="138" t="n">
        <v>6743.77</v>
      </c>
      <c r="K174" s="138" t="n">
        <v>7535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穩懋(3105)</t>
        </is>
      </c>
      <c r="E175" s="137" t="n">
        <v>219</v>
      </c>
      <c r="F175" s="137" t="n">
        <v>57</v>
      </c>
      <c r="G175" s="137" t="n">
        <v>13640</v>
      </c>
      <c r="H175" s="137" t="n">
        <v>3518</v>
      </c>
      <c r="I175" s="137" t="n">
        <v>10122</v>
      </c>
      <c r="J175" s="138" t="n">
        <v>622.8099999999999</v>
      </c>
      <c r="K175" s="138" t="n">
        <v>617.14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川湖(2059)</t>
        </is>
      </c>
      <c r="E176" s="137" t="n">
        <v>9</v>
      </c>
      <c r="F176" s="137" t="n">
        <v>1</v>
      </c>
      <c r="G176" s="137" t="n">
        <v>11984</v>
      </c>
      <c r="H176" s="137" t="n">
        <v>15</v>
      </c>
      <c r="I176" s="137" t="n">
        <v>11969</v>
      </c>
      <c r="J176" s="138" t="n">
        <v>13315.78</v>
      </c>
      <c r="K176" s="138" t="n">
        <v>146</v>
      </c>
      <c r="L176" s="254">
        <f>F176*(K176-J176)</f>
        <v/>
      </c>
    </row>
    <row r="177" ht="16.5" customHeight="1">
      <c r="A177" s="139" t="n"/>
      <c r="B177" s="139" t="n"/>
      <c r="C177" s="139" t="n"/>
      <c r="D177" s="136" t="inlineStr">
        <is>
          <t>矽格(6257)</t>
        </is>
      </c>
      <c r="E177" s="137" t="n">
        <v>293</v>
      </c>
      <c r="F177" s="137" t="n">
        <v>4</v>
      </c>
      <c r="G177" s="137" t="n">
        <v>7917</v>
      </c>
      <c r="H177" s="137" t="n">
        <v>105</v>
      </c>
      <c r="I177" s="137" t="n">
        <v>7812</v>
      </c>
      <c r="J177" s="138" t="n">
        <v>270.19</v>
      </c>
      <c r="K177" s="138" t="n">
        <v>261.5</v>
      </c>
      <c r="L177" s="254">
        <f>F177*(K177-J177)</f>
        <v/>
      </c>
    </row>
    <row r="178" ht="16.5" customHeight="1">
      <c r="A178" s="140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9" t="n"/>
      <c r="B179" s="135" t="inlineStr">
        <is>
          <t>富邦-新店</t>
        </is>
      </c>
      <c r="C179" s="135" t="inlineStr">
        <is>
          <t>9661</t>
        </is>
      </c>
      <c r="D179" s="136" t="inlineStr">
        <is>
          <t>金居(8358)</t>
        </is>
      </c>
      <c r="E179" s="137" t="n">
        <v>2408</v>
      </c>
      <c r="F179" s="137" t="n">
        <v>598</v>
      </c>
      <c r="G179" s="137" t="n">
        <v>137195</v>
      </c>
      <c r="H179" s="137" t="n">
        <v>34000</v>
      </c>
      <c r="I179" s="137" t="n">
        <v>103195</v>
      </c>
      <c r="J179" s="138" t="n">
        <v>569.75</v>
      </c>
      <c r="K179" s="138" t="n">
        <v>568.5700000000001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國巨*(2327)</t>
        </is>
      </c>
      <c r="E180" s="137" t="n">
        <v>637</v>
      </c>
      <c r="F180" s="137" t="n">
        <v>106</v>
      </c>
      <c r="G180" s="137" t="n">
        <v>41185</v>
      </c>
      <c r="H180" s="137" t="n">
        <v>6762</v>
      </c>
      <c r="I180" s="137" t="n">
        <v>34423</v>
      </c>
      <c r="J180" s="138" t="n">
        <v>646.55</v>
      </c>
      <c r="K180" s="138" t="n">
        <v>637.92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鼎元(2426)</t>
        </is>
      </c>
      <c r="E181" s="137" t="n">
        <v>3077</v>
      </c>
      <c r="F181" s="137" t="n">
        <v>60</v>
      </c>
      <c r="G181" s="137" t="n">
        <v>35077</v>
      </c>
      <c r="H181" s="137" t="n">
        <v>671</v>
      </c>
      <c r="I181" s="137" t="n">
        <v>34406</v>
      </c>
      <c r="J181" s="138" t="n">
        <v>114</v>
      </c>
      <c r="K181" s="138" t="n">
        <v>111.78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南茂(8150)</t>
        </is>
      </c>
      <c r="E182" s="137" t="n">
        <v>1231</v>
      </c>
      <c r="F182" s="137" t="n">
        <v>80</v>
      </c>
      <c r="G182" s="137" t="n">
        <v>15280</v>
      </c>
      <c r="H182" s="137" t="n">
        <v>995</v>
      </c>
      <c r="I182" s="137" t="n">
        <v>14285</v>
      </c>
      <c r="J182" s="138" t="n">
        <v>124.12</v>
      </c>
      <c r="K182" s="138" t="n">
        <v>124.36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愛普*(6531)</t>
        </is>
      </c>
      <c r="E183" s="137" t="n">
        <v>123</v>
      </c>
      <c r="F183" s="137" t="n">
        <v>6</v>
      </c>
      <c r="G183" s="137" t="n">
        <v>13200</v>
      </c>
      <c r="H183" s="137" t="n">
        <v>636</v>
      </c>
      <c r="I183" s="137" t="n">
        <v>12564</v>
      </c>
      <c r="J183" s="138" t="n">
        <v>1073.17</v>
      </c>
      <c r="K183" s="138" t="n">
        <v>1060.67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聯電(2303)</t>
        </is>
      </c>
      <c r="E184" s="137" t="n">
        <v>720</v>
      </c>
      <c r="F184" s="137" t="n">
        <v>265</v>
      </c>
      <c r="G184" s="137" t="n">
        <v>11224</v>
      </c>
      <c r="H184" s="137" t="n">
        <v>4062</v>
      </c>
      <c r="I184" s="137" t="n">
        <v>7162</v>
      </c>
      <c r="J184" s="138" t="n">
        <v>155.9</v>
      </c>
      <c r="K184" s="138" t="n">
        <v>153.28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光聖(6442)</t>
        </is>
      </c>
      <c r="E185" s="137" t="n">
        <v>42</v>
      </c>
      <c r="F185" s="137" t="n">
        <v>10</v>
      </c>
      <c r="G185" s="137" t="n">
        <v>7184</v>
      </c>
      <c r="H185" s="137" t="n">
        <v>1746</v>
      </c>
      <c r="I185" s="137" t="n">
        <v>5438</v>
      </c>
      <c r="J185" s="138" t="n">
        <v>1710.6</v>
      </c>
      <c r="K185" s="138" t="n">
        <v>1745.8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友達(2409)</t>
        </is>
      </c>
      <c r="E186" s="137" t="n">
        <v>1377</v>
      </c>
      <c r="F186" s="137" t="n">
        <v>769</v>
      </c>
      <c r="G186" s="137" t="n">
        <v>5571</v>
      </c>
      <c r="H186" s="137" t="n">
        <v>3121</v>
      </c>
      <c r="I186" s="137" t="n">
        <v>2450</v>
      </c>
      <c r="J186" s="138" t="n">
        <v>40.46</v>
      </c>
      <c r="K186" s="138" t="n">
        <v>40.59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萬潤(6187)</t>
        </is>
      </c>
      <c r="E187" s="137" t="n">
        <v>34</v>
      </c>
      <c r="F187" s="137" t="n">
        <v>11</v>
      </c>
      <c r="G187" s="137" t="n">
        <v>5115</v>
      </c>
      <c r="H187" s="137" t="n">
        <v>1590</v>
      </c>
      <c r="I187" s="137" t="n">
        <v>3525</v>
      </c>
      <c r="J187" s="138" t="n">
        <v>1504.44</v>
      </c>
      <c r="K187" s="138" t="n">
        <v>1445.73</v>
      </c>
      <c r="L187" s="254">
        <f>F187*(K187-J187)</f>
        <v/>
      </c>
    </row>
    <row r="188" ht="16.5" customHeight="1">
      <c r="A188" s="139" t="n"/>
      <c r="B188" s="139" t="n"/>
      <c r="C188" s="139" t="n"/>
      <c r="D188" s="136" t="inlineStr">
        <is>
          <t>勤誠(8210)</t>
        </is>
      </c>
      <c r="E188" s="137" t="n">
        <v>52</v>
      </c>
      <c r="F188" s="137" t="n">
        <v>42</v>
      </c>
      <c r="G188" s="137" t="n">
        <v>4668</v>
      </c>
      <c r="H188" s="137" t="n">
        <v>3708</v>
      </c>
      <c r="I188" s="137" t="n">
        <v>960</v>
      </c>
      <c r="J188" s="138" t="n">
        <v>897.71</v>
      </c>
      <c r="K188" s="138" t="n">
        <v>882.79</v>
      </c>
      <c r="L188" s="254">
        <f>F188*(K188-J188)</f>
        <v/>
      </c>
    </row>
    <row r="189" ht="16.5" customHeight="1">
      <c r="A189" s="140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9" t="n"/>
      <c r="B190" s="135" t="inlineStr">
        <is>
          <t>永豐金-內湖</t>
        </is>
      </c>
      <c r="C190" s="135" t="inlineStr">
        <is>
          <t>9A9g</t>
        </is>
      </c>
      <c r="D190" s="136" t="inlineStr">
        <is>
          <t>台積電(2330)</t>
        </is>
      </c>
      <c r="E190" s="137" t="n">
        <v>54</v>
      </c>
      <c r="F190" s="137" t="n">
        <v>52</v>
      </c>
      <c r="G190" s="137" t="n">
        <v>13780</v>
      </c>
      <c r="H190" s="137" t="n">
        <v>13284</v>
      </c>
      <c r="I190" s="137" t="n">
        <v>496</v>
      </c>
      <c r="J190" s="138" t="n">
        <v>2551.81</v>
      </c>
      <c r="K190" s="138" t="n">
        <v>2554.6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國巨*(2327)</t>
        </is>
      </c>
      <c r="E191" s="137" t="n">
        <v>98</v>
      </c>
      <c r="F191" s="137" t="n">
        <v>84</v>
      </c>
      <c r="G191" s="137" t="n">
        <v>6124</v>
      </c>
      <c r="H191" s="137" t="n">
        <v>5263</v>
      </c>
      <c r="I191" s="137" t="n">
        <v>861</v>
      </c>
      <c r="J191" s="138" t="n">
        <v>624.85</v>
      </c>
      <c r="K191" s="138" t="n">
        <v>626.6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台半(5425)</t>
        </is>
      </c>
      <c r="E192" s="137" t="n">
        <v>420</v>
      </c>
      <c r="F192" s="137" t="n">
        <v>200</v>
      </c>
      <c r="G192" s="137" t="n">
        <v>4524</v>
      </c>
      <c r="H192" s="137" t="n">
        <v>2202</v>
      </c>
      <c r="I192" s="137" t="n">
        <v>2322</v>
      </c>
      <c r="J192" s="138" t="n">
        <v>107.7</v>
      </c>
      <c r="K192" s="138" t="n">
        <v>110.08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光聖(6442)</t>
        </is>
      </c>
      <c r="E193" s="137" t="n">
        <v>26</v>
      </c>
      <c r="F193" s="137" t="n">
        <v>8</v>
      </c>
      <c r="G193" s="137" t="n">
        <v>4504</v>
      </c>
      <c r="H193" s="137" t="n">
        <v>1317</v>
      </c>
      <c r="I193" s="137" t="n">
        <v>3187</v>
      </c>
      <c r="J193" s="138" t="n">
        <v>1732.31</v>
      </c>
      <c r="K193" s="138" t="n">
        <v>1646.75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聯電(2303)</t>
        </is>
      </c>
      <c r="E194" s="137" t="n">
        <v>286</v>
      </c>
      <c r="F194" s="137" t="n">
        <v>25</v>
      </c>
      <c r="G194" s="137" t="n">
        <v>4441</v>
      </c>
      <c r="H194" s="137" t="n">
        <v>392</v>
      </c>
      <c r="I194" s="137" t="n">
        <v>4049</v>
      </c>
      <c r="J194" s="138" t="n">
        <v>155.27</v>
      </c>
      <c r="K194" s="138" t="n">
        <v>156.96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穩懋(3105)</t>
        </is>
      </c>
      <c r="E195" s="137" t="n">
        <v>66</v>
      </c>
      <c r="F195" s="137" t="n">
        <v>28</v>
      </c>
      <c r="G195" s="137" t="n">
        <v>4063</v>
      </c>
      <c r="H195" s="137" t="n">
        <v>1743</v>
      </c>
      <c r="I195" s="137" t="n">
        <v>2320</v>
      </c>
      <c r="J195" s="138" t="n">
        <v>615.67</v>
      </c>
      <c r="K195" s="138" t="n">
        <v>622.36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臻鼎-KY(4958)</t>
        </is>
      </c>
      <c r="E196" s="137" t="n">
        <v>64</v>
      </c>
      <c r="F196" s="137" t="n">
        <v>40</v>
      </c>
      <c r="G196" s="137" t="n">
        <v>3717</v>
      </c>
      <c r="H196" s="137" t="n">
        <v>2313</v>
      </c>
      <c r="I196" s="137" t="n">
        <v>1404</v>
      </c>
      <c r="J196" s="138" t="n">
        <v>580.8</v>
      </c>
      <c r="K196" s="138" t="n">
        <v>578.2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穎崴(6515)</t>
        </is>
      </c>
      <c r="E197" s="137" t="n">
        <v>6</v>
      </c>
      <c r="F197" s="137" t="n">
        <v>2</v>
      </c>
      <c r="G197" s="137" t="n">
        <v>3692</v>
      </c>
      <c r="H197" s="137" t="n">
        <v>1330</v>
      </c>
      <c r="I197" s="137" t="n">
        <v>2362</v>
      </c>
      <c r="J197" s="138" t="n">
        <v>6153.67</v>
      </c>
      <c r="K197" s="138" t="n">
        <v>6648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台光電(2383)</t>
        </is>
      </c>
      <c r="E198" s="137" t="n">
        <v>6</v>
      </c>
      <c r="F198" s="137" t="n">
        <v>1</v>
      </c>
      <c r="G198" s="137" t="n">
        <v>3384</v>
      </c>
      <c r="H198" s="137" t="n">
        <v>801</v>
      </c>
      <c r="I198" s="137" t="n">
        <v>2583</v>
      </c>
      <c r="J198" s="138" t="n">
        <v>5639.5</v>
      </c>
      <c r="K198" s="138" t="n">
        <v>8009</v>
      </c>
      <c r="L198" s="253">
        <f>F198*(K198-J198)</f>
        <v/>
      </c>
    </row>
    <row r="199" ht="16.5" customHeight="1">
      <c r="A199" s="139" t="n"/>
      <c r="B199" s="139" t="n"/>
      <c r="C199" s="139" t="n"/>
      <c r="D199" s="136" t="inlineStr">
        <is>
          <t>聯友金屬-創(7610)</t>
        </is>
      </c>
      <c r="E199" s="137" t="n">
        <v>17</v>
      </c>
      <c r="F199" s="137" t="n">
        <v>10</v>
      </c>
      <c r="G199" s="137" t="n">
        <v>3149</v>
      </c>
      <c r="H199" s="137" t="n">
        <v>1882</v>
      </c>
      <c r="I199" s="137" t="n">
        <v>1267</v>
      </c>
      <c r="J199" s="138" t="n">
        <v>1852.24</v>
      </c>
      <c r="K199" s="138" t="n">
        <v>1882.5</v>
      </c>
      <c r="L199" s="253">
        <f>F199*(K199-J199)</f>
        <v/>
      </c>
    </row>
    <row r="200" ht="16.5" customHeight="1">
      <c r="A200" s="141" t="inlineStr">
        <is>
          <t>高手</t>
        </is>
      </c>
      <c r="B200" s="141" t="inlineStr">
        <is>
          <t>常下分點</t>
        </is>
      </c>
      <c r="C200" s="141" t="inlineStr">
        <is>
          <t>分點代號</t>
        </is>
      </c>
      <c r="D200" s="141" t="inlineStr">
        <is>
          <t>標的</t>
        </is>
      </c>
      <c r="E200" s="141" t="inlineStr">
        <is>
          <t>買進(張)</t>
        </is>
      </c>
      <c r="F200" s="141" t="inlineStr">
        <is>
          <t>賣出(張)</t>
        </is>
      </c>
      <c r="G200" s="141" t="inlineStr">
        <is>
          <t>買進(萬元)</t>
        </is>
      </c>
      <c r="H200" s="141" t="inlineStr">
        <is>
          <t>賣出(萬元)</t>
        </is>
      </c>
      <c r="I200" s="141" t="inlineStr">
        <is>
          <t>淨買差(萬元)</t>
        </is>
      </c>
      <c r="J200" s="141" t="inlineStr">
        <is>
          <t>買均</t>
        </is>
      </c>
      <c r="K200" s="141" t="inlineStr">
        <is>
          <t>賣均</t>
        </is>
      </c>
      <c r="L200" s="141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先進光(3362)</t>
        </is>
      </c>
      <c r="E201" s="145" t="n">
        <v>540</v>
      </c>
      <c r="F201" s="145" t="n">
        <v>11</v>
      </c>
      <c r="G201" s="145" t="n">
        <v>10259</v>
      </c>
      <c r="H201" s="145" t="n">
        <v>200</v>
      </c>
      <c r="I201" s="145" t="n">
        <v>10059</v>
      </c>
      <c r="J201" s="146" t="n">
        <v>189.99</v>
      </c>
      <c r="K201" s="146" t="n">
        <v>181.73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大立光(3008)</t>
        </is>
      </c>
      <c r="E202" s="145" t="n">
        <v>10</v>
      </c>
      <c r="F202" s="145" t="n">
        <v>0</v>
      </c>
      <c r="G202" s="145" t="n">
        <v>6801</v>
      </c>
      <c r="H202" s="145" t="n">
        <v>36</v>
      </c>
      <c r="I202" s="145" t="n">
        <v>6765</v>
      </c>
      <c r="J202" s="146" t="n">
        <v>6800.8</v>
      </c>
      <c r="K202" s="146" t="n">
        <v>0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智邦(2345)</t>
        </is>
      </c>
      <c r="E203" s="145" t="n">
        <v>31</v>
      </c>
      <c r="F203" s="145" t="n">
        <v>0</v>
      </c>
      <c r="G203" s="145" t="n">
        <v>6479</v>
      </c>
      <c r="H203" s="145" t="n">
        <v>78</v>
      </c>
      <c r="I203" s="145" t="n">
        <v>6401</v>
      </c>
      <c r="J203" s="146" t="n">
        <v>2089.87</v>
      </c>
      <c r="K203" s="146" t="n">
        <v>0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雙鴻(3324)</t>
        </is>
      </c>
      <c r="E204" s="145" t="n">
        <v>42</v>
      </c>
      <c r="F204" s="145" t="n">
        <v>0</v>
      </c>
      <c r="G204" s="145" t="n">
        <v>6478</v>
      </c>
      <c r="H204" s="145" t="n">
        <v>34</v>
      </c>
      <c r="I204" s="145" t="n">
        <v>6444</v>
      </c>
      <c r="J204" s="146" t="n">
        <v>1542.43</v>
      </c>
      <c r="K204" s="146" t="n">
        <v>0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今國光(6209)</t>
        </is>
      </c>
      <c r="E205" s="145" t="n">
        <v>654</v>
      </c>
      <c r="F205" s="145" t="n">
        <v>0</v>
      </c>
      <c r="G205" s="145" t="n">
        <v>5742</v>
      </c>
      <c r="H205" s="145" t="n">
        <v>0</v>
      </c>
      <c r="I205" s="145" t="n">
        <v>5742</v>
      </c>
      <c r="J205" s="146" t="n">
        <v>87.81</v>
      </c>
      <c r="K205" s="146" t="n">
        <v>0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環球晶(6488)</t>
        </is>
      </c>
      <c r="E206" s="145" t="n">
        <v>40</v>
      </c>
      <c r="F206" s="145" t="n">
        <v>2</v>
      </c>
      <c r="G206" s="145" t="n">
        <v>4877</v>
      </c>
      <c r="H206" s="145" t="n">
        <v>230</v>
      </c>
      <c r="I206" s="145" t="n">
        <v>4647</v>
      </c>
      <c r="J206" s="146" t="n">
        <v>1219.2</v>
      </c>
      <c r="K206" s="146" t="n">
        <v>1150.5</v>
      </c>
      <c r="L206" s="254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穩懋(3105)</t>
        </is>
      </c>
      <c r="E207" s="145" t="n">
        <v>72</v>
      </c>
      <c r="F207" s="145" t="n">
        <v>27</v>
      </c>
      <c r="G207" s="145" t="n">
        <v>4419</v>
      </c>
      <c r="H207" s="145" t="n">
        <v>1694</v>
      </c>
      <c r="I207" s="145" t="n">
        <v>2725</v>
      </c>
      <c r="J207" s="146" t="n">
        <v>613.76</v>
      </c>
      <c r="K207" s="146" t="n">
        <v>627.37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華邦電(2344)</t>
        </is>
      </c>
      <c r="E208" s="145" t="n">
        <v>134</v>
      </c>
      <c r="F208" s="145" t="n">
        <v>15</v>
      </c>
      <c r="G208" s="145" t="n">
        <v>2366</v>
      </c>
      <c r="H208" s="145" t="n">
        <v>263</v>
      </c>
      <c r="I208" s="145" t="n">
        <v>2103</v>
      </c>
      <c r="J208" s="146" t="n">
        <v>176.57</v>
      </c>
      <c r="K208" s="146" t="n">
        <v>175.33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友達(2409)</t>
        </is>
      </c>
      <c r="E209" s="145" t="n">
        <v>326</v>
      </c>
      <c r="F209" s="145" t="n">
        <v>204</v>
      </c>
      <c r="G209" s="145" t="n">
        <v>1322</v>
      </c>
      <c r="H209" s="145" t="n">
        <v>816</v>
      </c>
      <c r="I209" s="145" t="n">
        <v>506</v>
      </c>
      <c r="J209" s="146" t="n">
        <v>40.55</v>
      </c>
      <c r="K209" s="146" t="n">
        <v>40.02</v>
      </c>
      <c r="L209" s="254">
        <f>F209*(K209-J209)</f>
        <v/>
      </c>
    </row>
    <row r="210" ht="16.5" customHeight="1">
      <c r="A210" s="147" t="n"/>
      <c r="B210" s="147" t="n"/>
      <c r="C210" s="147" t="n"/>
      <c r="D210" s="144" t="inlineStr">
        <is>
          <t>漢磊(3707)</t>
        </is>
      </c>
      <c r="E210" s="145" t="n">
        <v>119</v>
      </c>
      <c r="F210" s="145" t="n">
        <v>79</v>
      </c>
      <c r="G210" s="145" t="n">
        <v>1037</v>
      </c>
      <c r="H210" s="145" t="n">
        <v>692</v>
      </c>
      <c r="I210" s="145" t="n">
        <v>345</v>
      </c>
      <c r="J210" s="146" t="n">
        <v>87.11</v>
      </c>
      <c r="K210" s="146" t="n">
        <v>87.63</v>
      </c>
      <c r="L210" s="253">
        <f>F210*(K210-J210)</f>
        <v/>
      </c>
    </row>
    <row r="211" ht="16.5" customHeight="1">
      <c r="A211" s="148" t="n"/>
      <c r="B211" s="141" t="inlineStr">
        <is>
          <t>常下分點</t>
        </is>
      </c>
      <c r="C211" s="141" t="inlineStr">
        <is>
          <t>分點代號</t>
        </is>
      </c>
      <c r="D211" s="141" t="inlineStr">
        <is>
          <t>標的</t>
        </is>
      </c>
      <c r="E211" s="141" t="inlineStr">
        <is>
          <t>買進(張)</t>
        </is>
      </c>
      <c r="F211" s="141" t="inlineStr">
        <is>
          <t>賣出(張)</t>
        </is>
      </c>
      <c r="G211" s="141" t="inlineStr">
        <is>
          <t>買進(萬元)</t>
        </is>
      </c>
      <c r="H211" s="141" t="inlineStr">
        <is>
          <t>賣出(萬元)</t>
        </is>
      </c>
      <c r="I211" s="141" t="inlineStr">
        <is>
          <t>淨買差(萬元)</t>
        </is>
      </c>
      <c r="J211" s="141" t="inlineStr">
        <is>
          <t>買均</t>
        </is>
      </c>
      <c r="K211" s="141" t="inlineStr">
        <is>
          <t>賣均</t>
        </is>
      </c>
      <c r="L211" s="141" t="inlineStr">
        <is>
          <t>損益(萬)</t>
        </is>
      </c>
    </row>
    <row r="212" ht="16.5" customHeight="1">
      <c r="A212" s="147" t="n"/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台燿(6274)</t>
        </is>
      </c>
      <c r="E212" s="145" t="n">
        <v>263</v>
      </c>
      <c r="F212" s="145" t="n">
        <v>42</v>
      </c>
      <c r="G212" s="145" t="n">
        <v>45869</v>
      </c>
      <c r="H212" s="145" t="n">
        <v>7192</v>
      </c>
      <c r="I212" s="145" t="n">
        <v>38677</v>
      </c>
      <c r="J212" s="146" t="n">
        <v>1744.06</v>
      </c>
      <c r="K212" s="146" t="n">
        <v>1712.36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國巨*(2327)</t>
        </is>
      </c>
      <c r="E213" s="145" t="n">
        <v>565</v>
      </c>
      <c r="F213" s="145" t="n">
        <v>174</v>
      </c>
      <c r="G213" s="145" t="n">
        <v>36398</v>
      </c>
      <c r="H213" s="145" t="n">
        <v>11138</v>
      </c>
      <c r="I213" s="145" t="n">
        <v>25260</v>
      </c>
      <c r="J213" s="146" t="n">
        <v>644.21</v>
      </c>
      <c r="K213" s="146" t="n">
        <v>640.1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光聖(6442)</t>
        </is>
      </c>
      <c r="E214" s="145" t="n">
        <v>99</v>
      </c>
      <c r="F214" s="145" t="n">
        <v>0</v>
      </c>
      <c r="G214" s="145" t="n">
        <v>16298</v>
      </c>
      <c r="H214" s="145" t="n">
        <v>0</v>
      </c>
      <c r="I214" s="145" t="n">
        <v>16298</v>
      </c>
      <c r="J214" s="146" t="n">
        <v>1646.31</v>
      </c>
      <c r="K214" s="146" t="n">
        <v>0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川湖(2059)</t>
        </is>
      </c>
      <c r="E215" s="145" t="n">
        <v>12</v>
      </c>
      <c r="F215" s="145" t="n">
        <v>0</v>
      </c>
      <c r="G215" s="145" t="n">
        <v>15716</v>
      </c>
      <c r="H215" s="145" t="n">
        <v>0</v>
      </c>
      <c r="I215" s="145" t="n">
        <v>15716</v>
      </c>
      <c r="J215" s="146" t="n">
        <v>13096.33</v>
      </c>
      <c r="K215" s="146" t="n">
        <v>0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大立光(3008)</t>
        </is>
      </c>
      <c r="E216" s="145" t="n">
        <v>22</v>
      </c>
      <c r="F216" s="145" t="n">
        <v>0</v>
      </c>
      <c r="G216" s="145" t="n">
        <v>14965</v>
      </c>
      <c r="H216" s="145" t="n">
        <v>5</v>
      </c>
      <c r="I216" s="145" t="n">
        <v>14960</v>
      </c>
      <c r="J216" s="146" t="n">
        <v>6802.27</v>
      </c>
      <c r="K216" s="146" t="n">
        <v>0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穩懋(3105)</t>
        </is>
      </c>
      <c r="E217" s="145" t="n">
        <v>136</v>
      </c>
      <c r="F217" s="145" t="n">
        <v>3</v>
      </c>
      <c r="G217" s="145" t="n">
        <v>8409</v>
      </c>
      <c r="H217" s="145" t="n">
        <v>184</v>
      </c>
      <c r="I217" s="145" t="n">
        <v>8225</v>
      </c>
      <c r="J217" s="146" t="n">
        <v>618.3099999999999</v>
      </c>
      <c r="K217" s="146" t="n">
        <v>614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台達電(2308)</t>
        </is>
      </c>
      <c r="E218" s="145" t="n">
        <v>28</v>
      </c>
      <c r="F218" s="145" t="n">
        <v>8</v>
      </c>
      <c r="G218" s="145" t="n">
        <v>5570</v>
      </c>
      <c r="H218" s="145" t="n">
        <v>1467</v>
      </c>
      <c r="I218" s="145" t="n">
        <v>4103</v>
      </c>
      <c r="J218" s="146" t="n">
        <v>1989.43</v>
      </c>
      <c r="K218" s="146" t="n">
        <v>1833.88</v>
      </c>
      <c r="L218" s="254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中華化(1727)</t>
        </is>
      </c>
      <c r="E219" s="145" t="n">
        <v>393</v>
      </c>
      <c r="F219" s="145" t="n">
        <v>0</v>
      </c>
      <c r="G219" s="145" t="n">
        <v>4633</v>
      </c>
      <c r="H219" s="145" t="n">
        <v>0</v>
      </c>
      <c r="I219" s="145" t="n">
        <v>4633</v>
      </c>
      <c r="J219" s="146" t="n">
        <v>117.89</v>
      </c>
      <c r="K219" s="146" t="n">
        <v>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凱基金(2883)</t>
        </is>
      </c>
      <c r="E220" s="145" t="n">
        <v>1095</v>
      </c>
      <c r="F220" s="145" t="n">
        <v>76</v>
      </c>
      <c r="G220" s="145" t="n">
        <v>4112</v>
      </c>
      <c r="H220" s="145" t="n">
        <v>287</v>
      </c>
      <c r="I220" s="145" t="n">
        <v>3825</v>
      </c>
      <c r="J220" s="146" t="n">
        <v>37.56</v>
      </c>
      <c r="K220" s="146" t="n">
        <v>37.78</v>
      </c>
      <c r="L220" s="253">
        <f>F220*(K220-J220)</f>
        <v/>
      </c>
    </row>
    <row r="221" ht="16.5" customHeight="1">
      <c r="A221" s="147" t="n"/>
      <c r="B221" s="147" t="n"/>
      <c r="C221" s="147" t="n"/>
      <c r="D221" s="144" t="inlineStr">
        <is>
          <t>先進光(3362)</t>
        </is>
      </c>
      <c r="E221" s="145" t="n">
        <v>175</v>
      </c>
      <c r="F221" s="145" t="n">
        <v>9</v>
      </c>
      <c r="G221" s="145" t="n">
        <v>3352</v>
      </c>
      <c r="H221" s="145" t="n">
        <v>167</v>
      </c>
      <c r="I221" s="145" t="n">
        <v>3185</v>
      </c>
      <c r="J221" s="146" t="n">
        <v>191.55</v>
      </c>
      <c r="K221" s="146" t="n">
        <v>185.56</v>
      </c>
      <c r="L221" s="254">
        <f>F221*(K221-J221)</f>
        <v/>
      </c>
    </row>
    <row r="222" ht="16.5" customHeight="1">
      <c r="A222" s="148" t="n"/>
      <c r="B222" s="141" t="inlineStr">
        <is>
          <t>常下分點</t>
        </is>
      </c>
      <c r="C222" s="141" t="inlineStr">
        <is>
          <t>分點代號</t>
        </is>
      </c>
      <c r="D222" s="141" t="inlineStr">
        <is>
          <t>標的</t>
        </is>
      </c>
      <c r="E222" s="141" t="inlineStr">
        <is>
          <t>買進(張)</t>
        </is>
      </c>
      <c r="F222" s="141" t="inlineStr">
        <is>
          <t>賣出(張)</t>
        </is>
      </c>
      <c r="G222" s="141" t="inlineStr">
        <is>
          <t>買進(萬元)</t>
        </is>
      </c>
      <c r="H222" s="141" t="inlineStr">
        <is>
          <t>賣出(萬元)</t>
        </is>
      </c>
      <c r="I222" s="141" t="inlineStr">
        <is>
          <t>淨買差(萬元)</t>
        </is>
      </c>
      <c r="J222" s="141" t="inlineStr">
        <is>
          <t>買均</t>
        </is>
      </c>
      <c r="K222" s="141" t="inlineStr">
        <is>
          <t>賣均</t>
        </is>
      </c>
      <c r="L222" s="141" t="inlineStr">
        <is>
          <t>損益(萬)</t>
        </is>
      </c>
    </row>
    <row r="223" ht="16.5" customHeight="1">
      <c r="A223" s="147" t="n"/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大立光(3008)</t>
        </is>
      </c>
      <c r="E223" s="145" t="n">
        <v>53</v>
      </c>
      <c r="F223" s="145" t="n">
        <v>1</v>
      </c>
      <c r="G223" s="145" t="n">
        <v>36098</v>
      </c>
      <c r="H223" s="145" t="n">
        <v>733</v>
      </c>
      <c r="I223" s="145" t="n">
        <v>35365</v>
      </c>
      <c r="J223" s="146" t="n">
        <v>6810.92</v>
      </c>
      <c r="K223" s="146" t="n">
        <v>7331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聯鈞(3450)</t>
        </is>
      </c>
      <c r="E224" s="145" t="n">
        <v>331</v>
      </c>
      <c r="F224" s="145" t="n">
        <v>83</v>
      </c>
      <c r="G224" s="145" t="n">
        <v>18779</v>
      </c>
      <c r="H224" s="145" t="n">
        <v>4630</v>
      </c>
      <c r="I224" s="145" t="n">
        <v>14149</v>
      </c>
      <c r="J224" s="146" t="n">
        <v>567.33</v>
      </c>
      <c r="K224" s="146" t="n">
        <v>557.8200000000001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川湖(2059)</t>
        </is>
      </c>
      <c r="E225" s="145" t="n">
        <v>9</v>
      </c>
      <c r="F225" s="145" t="n">
        <v>1</v>
      </c>
      <c r="G225" s="145" t="n">
        <v>12585</v>
      </c>
      <c r="H225" s="145" t="n">
        <v>69</v>
      </c>
      <c r="I225" s="145" t="n">
        <v>12516</v>
      </c>
      <c r="J225" s="146" t="n">
        <v>13983.33</v>
      </c>
      <c r="K225" s="146" t="n">
        <v>687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環宇-KY(4991)</t>
        </is>
      </c>
      <c r="E226" s="145" t="n">
        <v>136</v>
      </c>
      <c r="F226" s="145" t="n">
        <v>1</v>
      </c>
      <c r="G226" s="145" t="n">
        <v>7189</v>
      </c>
      <c r="H226" s="145" t="n">
        <v>52</v>
      </c>
      <c r="I226" s="145" t="n">
        <v>7137</v>
      </c>
      <c r="J226" s="146" t="n">
        <v>528.62</v>
      </c>
      <c r="K226" s="146" t="n">
        <v>525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先進光(3362)</t>
        </is>
      </c>
      <c r="E227" s="145" t="n">
        <v>370</v>
      </c>
      <c r="F227" s="145" t="n">
        <v>6</v>
      </c>
      <c r="G227" s="145" t="n">
        <v>6941</v>
      </c>
      <c r="H227" s="145" t="n">
        <v>112</v>
      </c>
      <c r="I227" s="145" t="n">
        <v>6829</v>
      </c>
      <c r="J227" s="146" t="n">
        <v>187.59</v>
      </c>
      <c r="K227" s="146" t="n">
        <v>186.5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光聖(6442)</t>
        </is>
      </c>
      <c r="E228" s="145" t="n">
        <v>35</v>
      </c>
      <c r="F228" s="145" t="n">
        <v>7</v>
      </c>
      <c r="G228" s="145" t="n">
        <v>5801</v>
      </c>
      <c r="H228" s="145" t="n">
        <v>1248</v>
      </c>
      <c r="I228" s="145" t="n">
        <v>4553</v>
      </c>
      <c r="J228" s="146" t="n">
        <v>1657.34</v>
      </c>
      <c r="K228" s="146" t="n">
        <v>1782.43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貿聯-KY(3665)</t>
        </is>
      </c>
      <c r="E229" s="145" t="n">
        <v>22</v>
      </c>
      <c r="F229" s="145" t="n">
        <v>4</v>
      </c>
      <c r="G229" s="145" t="n">
        <v>5463</v>
      </c>
      <c r="H229" s="145" t="n">
        <v>1016</v>
      </c>
      <c r="I229" s="145" t="n">
        <v>4447</v>
      </c>
      <c r="J229" s="146" t="n">
        <v>2483.18</v>
      </c>
      <c r="K229" s="146" t="n">
        <v>2539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金居(8358)</t>
        </is>
      </c>
      <c r="E230" s="145" t="n">
        <v>82</v>
      </c>
      <c r="F230" s="145" t="n">
        <v>39</v>
      </c>
      <c r="G230" s="145" t="n">
        <v>4550</v>
      </c>
      <c r="H230" s="145" t="n">
        <v>2198</v>
      </c>
      <c r="I230" s="145" t="n">
        <v>2352</v>
      </c>
      <c r="J230" s="146" t="n">
        <v>554.88</v>
      </c>
      <c r="K230" s="146" t="n">
        <v>563.54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台虹(8039)</t>
        </is>
      </c>
      <c r="E231" s="145" t="n">
        <v>115</v>
      </c>
      <c r="F231" s="145" t="n">
        <v>74</v>
      </c>
      <c r="G231" s="145" t="n">
        <v>3364</v>
      </c>
      <c r="H231" s="145" t="n">
        <v>2208</v>
      </c>
      <c r="I231" s="145" t="n">
        <v>1156</v>
      </c>
      <c r="J231" s="146" t="n">
        <v>292.5</v>
      </c>
      <c r="K231" s="146" t="n">
        <v>298.38</v>
      </c>
      <c r="L231" s="253">
        <f>F231*(K231-J231)</f>
        <v/>
      </c>
    </row>
    <row r="232" ht="16.5" customHeight="1">
      <c r="A232" s="147" t="n"/>
      <c r="B232" s="147" t="n"/>
      <c r="C232" s="147" t="n"/>
      <c r="D232" s="144" t="inlineStr">
        <is>
          <t>欣興(3037)</t>
        </is>
      </c>
      <c r="E232" s="145" t="n">
        <v>24</v>
      </c>
      <c r="F232" s="145" t="n">
        <v>16</v>
      </c>
      <c r="G232" s="145" t="n">
        <v>3184</v>
      </c>
      <c r="H232" s="145" t="n">
        <v>2117</v>
      </c>
      <c r="I232" s="145" t="n">
        <v>1067</v>
      </c>
      <c r="J232" s="146" t="n">
        <v>1326.58</v>
      </c>
      <c r="K232" s="146" t="n">
        <v>1323.38</v>
      </c>
      <c r="L232" s="254">
        <f>F232*(K232-J232)</f>
        <v/>
      </c>
    </row>
    <row r="233" ht="16.5" customHeight="1">
      <c r="A233" s="148" t="n"/>
      <c r="B233" s="141" t="inlineStr">
        <is>
          <t>常下分點</t>
        </is>
      </c>
      <c r="C233" s="141" t="inlineStr">
        <is>
          <t>分點代號</t>
        </is>
      </c>
      <c r="D233" s="141" t="inlineStr">
        <is>
          <t>標的</t>
        </is>
      </c>
      <c r="E233" s="141" t="inlineStr">
        <is>
          <t>買進(張)</t>
        </is>
      </c>
      <c r="F233" s="141" t="inlineStr">
        <is>
          <t>賣出(張)</t>
        </is>
      </c>
      <c r="G233" s="141" t="inlineStr">
        <is>
          <t>買進(萬元)</t>
        </is>
      </c>
      <c r="H233" s="141" t="inlineStr">
        <is>
          <t>賣出(萬元)</t>
        </is>
      </c>
      <c r="I233" s="141" t="inlineStr">
        <is>
          <t>淨買差(萬元)</t>
        </is>
      </c>
      <c r="J233" s="141" t="inlineStr">
        <is>
          <t>買均</t>
        </is>
      </c>
      <c r="K233" s="141" t="inlineStr">
        <is>
          <t>賣均</t>
        </is>
      </c>
      <c r="L233" s="141" t="inlineStr">
        <is>
          <t>損益(萬)</t>
        </is>
      </c>
    </row>
    <row r="234" ht="16.5" customHeight="1">
      <c r="A234" s="147" t="n"/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友達(2409)</t>
        </is>
      </c>
      <c r="E234" s="145" t="n">
        <v>674</v>
      </c>
      <c r="F234" s="145" t="n">
        <v>431</v>
      </c>
      <c r="G234" s="145" t="n">
        <v>2743</v>
      </c>
      <c r="H234" s="145" t="n">
        <v>1717</v>
      </c>
      <c r="I234" s="145" t="n">
        <v>1026</v>
      </c>
      <c r="J234" s="146" t="n">
        <v>40.69</v>
      </c>
      <c r="K234" s="146" t="n">
        <v>39.85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台虹(8039)</t>
        </is>
      </c>
      <c r="E235" s="145" t="n">
        <v>85</v>
      </c>
      <c r="F235" s="145" t="n">
        <v>27</v>
      </c>
      <c r="G235" s="145" t="n">
        <v>2567</v>
      </c>
      <c r="H235" s="145" t="n">
        <v>806</v>
      </c>
      <c r="I235" s="145" t="n">
        <v>1761</v>
      </c>
      <c r="J235" s="146" t="n">
        <v>302.04</v>
      </c>
      <c r="K235" s="146" t="n">
        <v>298.37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愛普*(6531)</t>
        </is>
      </c>
      <c r="E236" s="145" t="n">
        <v>24</v>
      </c>
      <c r="F236" s="145" t="n">
        <v>21</v>
      </c>
      <c r="G236" s="145" t="n">
        <v>2527</v>
      </c>
      <c r="H236" s="145" t="n">
        <v>2200</v>
      </c>
      <c r="I236" s="145" t="n">
        <v>327</v>
      </c>
      <c r="J236" s="146" t="n">
        <v>1052.96</v>
      </c>
      <c r="K236" s="146" t="n">
        <v>1047.62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貿聯-KY(3665)</t>
        </is>
      </c>
      <c r="E237" s="145" t="n">
        <v>10</v>
      </c>
      <c r="F237" s="145" t="n">
        <v>8</v>
      </c>
      <c r="G237" s="145" t="n">
        <v>2468</v>
      </c>
      <c r="H237" s="145" t="n">
        <v>1982</v>
      </c>
      <c r="I237" s="145" t="n">
        <v>486</v>
      </c>
      <c r="J237" s="146" t="n">
        <v>2467.5</v>
      </c>
      <c r="K237" s="146" t="n">
        <v>2477.5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南電(8046)</t>
        </is>
      </c>
      <c r="E238" s="145" t="n">
        <v>16</v>
      </c>
      <c r="F238" s="145" t="n">
        <v>8</v>
      </c>
      <c r="G238" s="145" t="n">
        <v>2426</v>
      </c>
      <c r="H238" s="145" t="n">
        <v>1224</v>
      </c>
      <c r="I238" s="145" t="n">
        <v>1202</v>
      </c>
      <c r="J238" s="146" t="n">
        <v>1515.94</v>
      </c>
      <c r="K238" s="146" t="n">
        <v>1529.38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聯電(2303)</t>
        </is>
      </c>
      <c r="E239" s="145" t="n">
        <v>154</v>
      </c>
      <c r="F239" s="145" t="n">
        <v>99</v>
      </c>
      <c r="G239" s="145" t="n">
        <v>2398</v>
      </c>
      <c r="H239" s="145" t="n">
        <v>1546</v>
      </c>
      <c r="I239" s="145" t="n">
        <v>852</v>
      </c>
      <c r="J239" s="146" t="n">
        <v>155.69</v>
      </c>
      <c r="K239" s="146" t="n">
        <v>156.13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華通(2313)</t>
        </is>
      </c>
      <c r="E240" s="145" t="n">
        <v>93</v>
      </c>
      <c r="F240" s="145" t="n">
        <v>11</v>
      </c>
      <c r="G240" s="145" t="n">
        <v>2282</v>
      </c>
      <c r="H240" s="145" t="n">
        <v>273</v>
      </c>
      <c r="I240" s="145" t="n">
        <v>2009</v>
      </c>
      <c r="J240" s="146" t="n">
        <v>245.42</v>
      </c>
      <c r="K240" s="146" t="n">
        <v>248.09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大立光(3008)</t>
        </is>
      </c>
      <c r="E241" s="145" t="n">
        <v>3</v>
      </c>
      <c r="F241" s="145" t="n">
        <v>1</v>
      </c>
      <c r="G241" s="145" t="n">
        <v>2064</v>
      </c>
      <c r="H241" s="145" t="n">
        <v>84</v>
      </c>
      <c r="I241" s="145" t="n">
        <v>1980</v>
      </c>
      <c r="J241" s="146" t="n">
        <v>6879.67</v>
      </c>
      <c r="K241" s="146" t="n">
        <v>845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由田(3455)</t>
        </is>
      </c>
      <c r="E242" s="145" t="n">
        <v>50</v>
      </c>
      <c r="F242" s="145" t="n">
        <v>2</v>
      </c>
      <c r="G242" s="145" t="n">
        <v>1484</v>
      </c>
      <c r="H242" s="145" t="n">
        <v>59</v>
      </c>
      <c r="I242" s="145" t="n">
        <v>1425</v>
      </c>
      <c r="J242" s="146" t="n">
        <v>296.86</v>
      </c>
      <c r="K242" s="146" t="n">
        <v>293</v>
      </c>
      <c r="L242" s="254">
        <f>F242*(K242-J242)</f>
        <v/>
      </c>
    </row>
    <row r="243" ht="16.5" customHeight="1">
      <c r="A243" s="147" t="n"/>
      <c r="B243" s="147" t="n"/>
      <c r="C243" s="147" t="n"/>
      <c r="D243" s="144" t="inlineStr">
        <is>
          <t>中華化(1727)</t>
        </is>
      </c>
      <c r="E243" s="145" t="n">
        <v>115</v>
      </c>
      <c r="F243" s="145" t="n">
        <v>43</v>
      </c>
      <c r="G243" s="145" t="n">
        <v>1361</v>
      </c>
      <c r="H243" s="145" t="n">
        <v>517</v>
      </c>
      <c r="I243" s="145" t="n">
        <v>844</v>
      </c>
      <c r="J243" s="146" t="n">
        <v>118.37</v>
      </c>
      <c r="K243" s="146" t="n">
        <v>120.21</v>
      </c>
      <c r="L243" s="253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54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54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5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53">
        <f>F254*(K254-J254)</f>
        <v/>
      </c>
    </row>
    <row r="255" ht="16.5" customHeight="1">
      <c r="A255" s="156" t="n"/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台達電(2308)</t>
        </is>
      </c>
      <c r="E257" s="153" t="n">
        <v>436</v>
      </c>
      <c r="F257" s="153" t="n">
        <v>191</v>
      </c>
      <c r="G257" s="153" t="n">
        <v>86247</v>
      </c>
      <c r="H257" s="153" t="n">
        <v>37587</v>
      </c>
      <c r="I257" s="153" t="n">
        <v>48660</v>
      </c>
      <c r="J257" s="154" t="n">
        <v>1978.13</v>
      </c>
      <c r="K257" s="154" t="n">
        <v>1967.93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智邦(2345)</t>
        </is>
      </c>
      <c r="E260" s="153" t="n">
        <v>203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2065.67</v>
      </c>
      <c r="K260" s="154" t="n">
        <v>2070.83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54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54">
        <f>F265*(K265-J265)</f>
        <v/>
      </c>
    </row>
    <row r="266" ht="16.5" customHeight="1">
      <c r="A266" s="156" t="n"/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台燿(6274)</t>
        </is>
      </c>
      <c r="E271" s="153" t="n">
        <v>794</v>
      </c>
      <c r="F271" s="153" t="n">
        <v>154</v>
      </c>
      <c r="G271" s="153" t="n">
        <v>140805</v>
      </c>
      <c r="H271" s="153" t="n">
        <v>26807</v>
      </c>
      <c r="I271" s="153" t="n">
        <v>113998</v>
      </c>
      <c r="J271" s="154" t="n">
        <v>1773.36</v>
      </c>
      <c r="K271" s="154" t="n">
        <v>1740.71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萬潤(6187)</t>
        </is>
      </c>
      <c r="E274" s="153" t="n">
        <v>744</v>
      </c>
      <c r="F274" s="153" t="n">
        <v>89</v>
      </c>
      <c r="G274" s="153" t="n">
        <v>110749</v>
      </c>
      <c r="H274" s="153" t="n">
        <v>13155</v>
      </c>
      <c r="I274" s="153" t="n">
        <v>97594</v>
      </c>
      <c r="J274" s="154" t="n">
        <v>1488.56</v>
      </c>
      <c r="K274" s="154" t="n">
        <v>1478.09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金像電(2368)</t>
        </is>
      </c>
      <c r="E275" s="153" t="n">
        <v>700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1212.94</v>
      </c>
      <c r="K275" s="154" t="n">
        <v>1247</v>
      </c>
      <c r="L275" s="25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54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8" t="inlineStr">
        <is>
          <t>布哥/n_nchang</t>
        </is>
      </c>
      <c r="B278" s="159" t="inlineStr">
        <is>
          <t>永豐金-敦南</t>
        </is>
      </c>
      <c r="C278" s="159" t="inlineStr">
        <is>
          <t>9A8F</t>
        </is>
      </c>
      <c r="D278" s="160" t="inlineStr">
        <is>
          <t>臻鼎-KY(4958)</t>
        </is>
      </c>
      <c r="E278" s="161" t="n">
        <v>189</v>
      </c>
      <c r="F278" s="161" t="n">
        <v>42</v>
      </c>
      <c r="G278" s="161" t="n">
        <v>11033</v>
      </c>
      <c r="H278" s="161" t="n">
        <v>2439</v>
      </c>
      <c r="I278" s="161" t="n">
        <v>8594</v>
      </c>
      <c r="J278" s="162" t="n">
        <v>583.74</v>
      </c>
      <c r="K278" s="162" t="n">
        <v>580.62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健策(3653)</t>
        </is>
      </c>
      <c r="E279" s="161" t="n">
        <v>11</v>
      </c>
      <c r="F279" s="161" t="n">
        <v>4</v>
      </c>
      <c r="G279" s="161" t="n">
        <v>7869</v>
      </c>
      <c r="H279" s="161" t="n">
        <v>3018</v>
      </c>
      <c r="I279" s="161" t="n">
        <v>4851</v>
      </c>
      <c r="J279" s="162" t="n">
        <v>7153.73</v>
      </c>
      <c r="K279" s="162" t="n">
        <v>7545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景碩(3189)</t>
        </is>
      </c>
      <c r="E280" s="161" t="n">
        <v>59</v>
      </c>
      <c r="F280" s="161" t="n">
        <v>45</v>
      </c>
      <c r="G280" s="161" t="n">
        <v>6430</v>
      </c>
      <c r="H280" s="161" t="n">
        <v>4881</v>
      </c>
      <c r="I280" s="161" t="n">
        <v>1549</v>
      </c>
      <c r="J280" s="162" t="n">
        <v>1089.75</v>
      </c>
      <c r="K280" s="162" t="n">
        <v>1084.76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聯電(2303)</t>
        </is>
      </c>
      <c r="E281" s="161" t="n">
        <v>414</v>
      </c>
      <c r="F281" s="161" t="n">
        <v>106</v>
      </c>
      <c r="G281" s="161" t="n">
        <v>6422</v>
      </c>
      <c r="H281" s="161" t="n">
        <v>1643</v>
      </c>
      <c r="I281" s="161" t="n">
        <v>4779</v>
      </c>
      <c r="J281" s="162" t="n">
        <v>155.13</v>
      </c>
      <c r="K281" s="162" t="n">
        <v>155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信驊(5274)</t>
        </is>
      </c>
      <c r="E282" s="161" t="n">
        <v>3</v>
      </c>
      <c r="F282" s="161" t="n">
        <v>1</v>
      </c>
      <c r="G282" s="161" t="n">
        <v>5820</v>
      </c>
      <c r="H282" s="161" t="n">
        <v>2366</v>
      </c>
      <c r="I282" s="161" t="n">
        <v>3454</v>
      </c>
      <c r="J282" s="162" t="n">
        <v>19401.67</v>
      </c>
      <c r="K282" s="162" t="n">
        <v>23665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台虹(8039)</t>
        </is>
      </c>
      <c r="E283" s="161" t="n">
        <v>163</v>
      </c>
      <c r="F283" s="161" t="n">
        <v>126</v>
      </c>
      <c r="G283" s="161" t="n">
        <v>4888</v>
      </c>
      <c r="H283" s="161" t="n">
        <v>3790</v>
      </c>
      <c r="I283" s="161" t="n">
        <v>1098</v>
      </c>
      <c r="J283" s="162" t="n">
        <v>299.9</v>
      </c>
      <c r="K283" s="162" t="n">
        <v>300.82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昇達科(3491)</t>
        </is>
      </c>
      <c r="E284" s="161" t="n">
        <v>27</v>
      </c>
      <c r="F284" s="161" t="n">
        <v>9</v>
      </c>
      <c r="G284" s="161" t="n">
        <v>4383</v>
      </c>
      <c r="H284" s="161" t="n">
        <v>1494</v>
      </c>
      <c r="I284" s="161" t="n">
        <v>2889</v>
      </c>
      <c r="J284" s="162" t="n">
        <v>1623.41</v>
      </c>
      <c r="K284" s="162" t="n">
        <v>1659.89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聯亞(3081)</t>
        </is>
      </c>
      <c r="E285" s="161" t="n">
        <v>14</v>
      </c>
      <c r="F285" s="161" t="n">
        <v>5</v>
      </c>
      <c r="G285" s="161" t="n">
        <v>4118</v>
      </c>
      <c r="H285" s="161" t="n">
        <v>1392</v>
      </c>
      <c r="I285" s="161" t="n">
        <v>2726</v>
      </c>
      <c r="J285" s="162" t="n">
        <v>2941.21</v>
      </c>
      <c r="K285" s="162" t="n">
        <v>2784.4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聯友金屬-創(7610)</t>
        </is>
      </c>
      <c r="E286" s="161" t="n">
        <v>21</v>
      </c>
      <c r="F286" s="161" t="n">
        <v>11</v>
      </c>
      <c r="G286" s="161" t="n">
        <v>3707</v>
      </c>
      <c r="H286" s="161" t="n">
        <v>1893</v>
      </c>
      <c r="I286" s="161" t="n">
        <v>1814</v>
      </c>
      <c r="J286" s="162" t="n">
        <v>1765.14</v>
      </c>
      <c r="K286" s="162" t="n">
        <v>1721.09</v>
      </c>
      <c r="L286" s="254">
        <f>F286*(K286-J286)</f>
        <v/>
      </c>
    </row>
    <row r="287" ht="16.5" customHeight="1">
      <c r="A287" s="163" t="n"/>
      <c r="B287" s="163" t="n"/>
      <c r="C287" s="163" t="n"/>
      <c r="D287" s="160" t="inlineStr">
        <is>
          <t>大立光(3008)</t>
        </is>
      </c>
      <c r="E287" s="161" t="n">
        <v>4</v>
      </c>
      <c r="F287" s="161" t="n">
        <v>2</v>
      </c>
      <c r="G287" s="161" t="n">
        <v>2935</v>
      </c>
      <c r="H287" s="161" t="n">
        <v>1246</v>
      </c>
      <c r="I287" s="161" t="n">
        <v>1689</v>
      </c>
      <c r="J287" s="162" t="n">
        <v>7337.75</v>
      </c>
      <c r="K287" s="162" t="n">
        <v>6229</v>
      </c>
      <c r="L287" s="254">
        <f>F287*(K287-J287)</f>
        <v/>
      </c>
    </row>
    <row r="288" ht="16.5" customHeight="1">
      <c r="A288" s="164" t="inlineStr">
        <is>
          <t>高手</t>
        </is>
      </c>
      <c r="B288" s="164" t="inlineStr">
        <is>
          <t>分點</t>
        </is>
      </c>
      <c r="C288" s="164" t="inlineStr">
        <is>
          <t>代號</t>
        </is>
      </c>
      <c r="D288" s="164" t="inlineStr">
        <is>
          <t>標的</t>
        </is>
      </c>
      <c r="E288" s="164" t="inlineStr">
        <is>
          <t>買進(張)</t>
        </is>
      </c>
      <c r="F288" s="164" t="inlineStr">
        <is>
          <t>賣出(張)</t>
        </is>
      </c>
      <c r="G288" s="164" t="inlineStr">
        <is>
          <t>買進(萬元)</t>
        </is>
      </c>
      <c r="H288" s="164" t="inlineStr">
        <is>
          <t>賣出(萬元)</t>
        </is>
      </c>
      <c r="I288" s="164" t="inlineStr">
        <is>
          <t>淨買差(萬元)</t>
        </is>
      </c>
      <c r="J288" s="164" t="inlineStr">
        <is>
          <t>買均</t>
        </is>
      </c>
      <c r="K288" s="164" t="inlineStr">
        <is>
          <t>賣均</t>
        </is>
      </c>
      <c r="L288" s="164" t="inlineStr">
        <is>
          <t>損益(萬)</t>
        </is>
      </c>
    </row>
    <row r="289" ht="16.5" customHeight="1">
      <c r="A289" s="165" t="inlineStr">
        <is>
          <t>強森</t>
        </is>
      </c>
      <c r="B289" s="166" t="inlineStr">
        <is>
          <t>台新-五權西</t>
        </is>
      </c>
      <c r="C289" s="166" t="inlineStr">
        <is>
          <t>9B25</t>
        </is>
      </c>
      <c r="D289" s="167" t="inlineStr">
        <is>
          <t>聯發科(2454)</t>
        </is>
      </c>
      <c r="E289" s="168" t="n">
        <v>24</v>
      </c>
      <c r="F289" s="168" t="n">
        <v>13</v>
      </c>
      <c r="G289" s="168" t="n">
        <v>12133</v>
      </c>
      <c r="H289" s="168" t="n">
        <v>6636</v>
      </c>
      <c r="I289" s="168" t="n">
        <v>5497</v>
      </c>
      <c r="J289" s="169" t="n">
        <v>5055.29</v>
      </c>
      <c r="K289" s="169" t="n">
        <v>5104.92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金像電(2368)</t>
        </is>
      </c>
      <c r="E290" s="168" t="n">
        <v>60</v>
      </c>
      <c r="F290" s="168" t="n">
        <v>1</v>
      </c>
      <c r="G290" s="168" t="n">
        <v>7190</v>
      </c>
      <c r="H290" s="168" t="n">
        <v>176</v>
      </c>
      <c r="I290" s="168" t="n">
        <v>7014</v>
      </c>
      <c r="J290" s="169" t="n">
        <v>1198.33</v>
      </c>
      <c r="K290" s="169" t="n">
        <v>1761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台燿(6274)</t>
        </is>
      </c>
      <c r="E291" s="168" t="n">
        <v>32</v>
      </c>
      <c r="F291" s="168" t="n">
        <v>3</v>
      </c>
      <c r="G291" s="168" t="n">
        <v>5475</v>
      </c>
      <c r="H291" s="168" t="n">
        <v>464</v>
      </c>
      <c r="I291" s="168" t="n">
        <v>5011</v>
      </c>
      <c r="J291" s="169" t="n">
        <v>1710.91</v>
      </c>
      <c r="K291" s="169" t="n">
        <v>1547.67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聯電(2303)</t>
        </is>
      </c>
      <c r="E292" s="168" t="n">
        <v>315</v>
      </c>
      <c r="F292" s="168" t="n">
        <v>28</v>
      </c>
      <c r="G292" s="168" t="n">
        <v>4922</v>
      </c>
      <c r="H292" s="168" t="n">
        <v>441</v>
      </c>
      <c r="I292" s="168" t="n">
        <v>4481</v>
      </c>
      <c r="J292" s="169" t="n">
        <v>156.25</v>
      </c>
      <c r="K292" s="169" t="n">
        <v>157.54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南亞(1303)</t>
        </is>
      </c>
      <c r="E293" s="168" t="n">
        <v>168</v>
      </c>
      <c r="F293" s="168" t="n">
        <v>37</v>
      </c>
      <c r="G293" s="168" t="n">
        <v>4735</v>
      </c>
      <c r="H293" s="168" t="n">
        <v>1035</v>
      </c>
      <c r="I293" s="168" t="n">
        <v>3700</v>
      </c>
      <c r="J293" s="169" t="n">
        <v>281.86</v>
      </c>
      <c r="K293" s="169" t="n">
        <v>279.65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穩懋(3105)</t>
        </is>
      </c>
      <c r="E294" s="168" t="n">
        <v>75</v>
      </c>
      <c r="F294" s="168" t="n">
        <v>42</v>
      </c>
      <c r="G294" s="168" t="n">
        <v>4638</v>
      </c>
      <c r="H294" s="168" t="n">
        <v>2561</v>
      </c>
      <c r="I294" s="168" t="n">
        <v>2077</v>
      </c>
      <c r="J294" s="169" t="n">
        <v>618.41</v>
      </c>
      <c r="K294" s="169" t="n">
        <v>609.8099999999999</v>
      </c>
      <c r="L294" s="254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國巨*(2327)</t>
        </is>
      </c>
      <c r="E295" s="168" t="n">
        <v>55</v>
      </c>
      <c r="F295" s="168" t="n">
        <v>25</v>
      </c>
      <c r="G295" s="168" t="n">
        <v>3497</v>
      </c>
      <c r="H295" s="168" t="n">
        <v>1614</v>
      </c>
      <c r="I295" s="168" t="n">
        <v>1883</v>
      </c>
      <c r="J295" s="169" t="n">
        <v>635.8</v>
      </c>
      <c r="K295" s="169" t="n">
        <v>645.6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台虹(8039)</t>
        </is>
      </c>
      <c r="E296" s="168" t="n">
        <v>70</v>
      </c>
      <c r="F296" s="168" t="n">
        <v>10</v>
      </c>
      <c r="G296" s="168" t="n">
        <v>2085</v>
      </c>
      <c r="H296" s="168" t="n">
        <v>303</v>
      </c>
      <c r="I296" s="168" t="n">
        <v>1782</v>
      </c>
      <c r="J296" s="169" t="n">
        <v>297.86</v>
      </c>
      <c r="K296" s="169" t="n">
        <v>303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聯茂(6213)</t>
        </is>
      </c>
      <c r="E297" s="168" t="n">
        <v>27</v>
      </c>
      <c r="F297" s="168" t="n">
        <v>1</v>
      </c>
      <c r="G297" s="168" t="n">
        <v>2022</v>
      </c>
      <c r="H297" s="168" t="n">
        <v>94</v>
      </c>
      <c r="I297" s="168" t="n">
        <v>1928</v>
      </c>
      <c r="J297" s="169" t="n">
        <v>748.78</v>
      </c>
      <c r="K297" s="169" t="n">
        <v>935</v>
      </c>
      <c r="L297" s="253">
        <f>F297*(K297-J297)</f>
        <v/>
      </c>
    </row>
    <row r="298" ht="16.5" customHeight="1">
      <c r="A298" s="170" t="n"/>
      <c r="B298" s="170" t="n"/>
      <c r="C298" s="170" t="n"/>
      <c r="D298" s="167" t="inlineStr">
        <is>
          <t>臻鼎-KY(4958)</t>
        </is>
      </c>
      <c r="E298" s="168" t="n">
        <v>32</v>
      </c>
      <c r="F298" s="168" t="n">
        <v>25</v>
      </c>
      <c r="G298" s="168" t="n">
        <v>1835</v>
      </c>
      <c r="H298" s="168" t="n">
        <v>1413</v>
      </c>
      <c r="I298" s="168" t="n">
        <v>422</v>
      </c>
      <c r="J298" s="169" t="n">
        <v>573.5599999999999</v>
      </c>
      <c r="K298" s="169" t="n">
        <v>565.36</v>
      </c>
      <c r="L298" s="254">
        <f>F298*(K298-J298)</f>
        <v/>
      </c>
    </row>
    <row r="299" ht="16.5" customHeight="1">
      <c r="A299" s="171" t="n"/>
      <c r="B299" s="164" t="inlineStr">
        <is>
          <t>分點</t>
        </is>
      </c>
      <c r="C299" s="164" t="inlineStr">
        <is>
          <t>代號</t>
        </is>
      </c>
      <c r="D299" s="164" t="inlineStr">
        <is>
          <t>標的</t>
        </is>
      </c>
      <c r="E299" s="164" t="inlineStr">
        <is>
          <t>買進(張)</t>
        </is>
      </c>
      <c r="F299" s="164" t="inlineStr">
        <is>
          <t>賣出(張)</t>
        </is>
      </c>
      <c r="G299" s="164" t="inlineStr">
        <is>
          <t>買進(萬元)</t>
        </is>
      </c>
      <c r="H299" s="164" t="inlineStr">
        <is>
          <t>賣出(萬元)</t>
        </is>
      </c>
      <c r="I299" s="164" t="inlineStr">
        <is>
          <t>淨買差(萬元)</t>
        </is>
      </c>
      <c r="J299" s="164" t="inlineStr">
        <is>
          <t>買均</t>
        </is>
      </c>
      <c r="K299" s="164" t="inlineStr">
        <is>
          <t>賣均</t>
        </is>
      </c>
      <c r="L299" s="164" t="inlineStr">
        <is>
          <t>損益(萬)</t>
        </is>
      </c>
    </row>
    <row r="300" ht="16.5" customHeight="1">
      <c r="A300" s="170" t="n"/>
      <c r="B300" s="166" t="inlineStr">
        <is>
          <t>台新-城中</t>
        </is>
      </c>
      <c r="C300" s="166" t="inlineStr">
        <is>
          <t>9B2E</t>
        </is>
      </c>
      <c r="D300" s="167" t="inlineStr">
        <is>
          <t>華新科(2492)</t>
        </is>
      </c>
      <c r="E300" s="168" t="n">
        <v>121</v>
      </c>
      <c r="F300" s="168" t="n">
        <v>105</v>
      </c>
      <c r="G300" s="168" t="n">
        <v>4633</v>
      </c>
      <c r="H300" s="168" t="n">
        <v>3976</v>
      </c>
      <c r="I300" s="168" t="n">
        <v>657</v>
      </c>
      <c r="J300" s="169" t="n">
        <v>382.88</v>
      </c>
      <c r="K300" s="169" t="n">
        <v>378.7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友達(2409)</t>
        </is>
      </c>
      <c r="E301" s="168" t="n">
        <v>1090</v>
      </c>
      <c r="F301" s="168" t="n">
        <v>1027</v>
      </c>
      <c r="G301" s="168" t="n">
        <v>4414</v>
      </c>
      <c r="H301" s="168" t="n">
        <v>4173</v>
      </c>
      <c r="I301" s="168" t="n">
        <v>241</v>
      </c>
      <c r="J301" s="169" t="n">
        <v>40.49</v>
      </c>
      <c r="K301" s="169" t="n">
        <v>40.64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國巨*(2327)</t>
        </is>
      </c>
      <c r="E302" s="168" t="n">
        <v>52</v>
      </c>
      <c r="F302" s="168" t="n">
        <v>41</v>
      </c>
      <c r="G302" s="168" t="n">
        <v>3234</v>
      </c>
      <c r="H302" s="168" t="n">
        <v>2550</v>
      </c>
      <c r="I302" s="168" t="n">
        <v>684</v>
      </c>
      <c r="J302" s="169" t="n">
        <v>622</v>
      </c>
      <c r="K302" s="169" t="n">
        <v>622.0700000000001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欣興(3037)</t>
        </is>
      </c>
      <c r="E303" s="168" t="n">
        <v>21</v>
      </c>
      <c r="F303" s="168" t="n">
        <v>8</v>
      </c>
      <c r="G303" s="168" t="n">
        <v>2830</v>
      </c>
      <c r="H303" s="168" t="n">
        <v>1107</v>
      </c>
      <c r="I303" s="168" t="n">
        <v>1723</v>
      </c>
      <c r="J303" s="169" t="n">
        <v>1347.48</v>
      </c>
      <c r="K303" s="169" t="n">
        <v>1383.88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大量(3167)</t>
        </is>
      </c>
      <c r="E304" s="168" t="n">
        <v>25</v>
      </c>
      <c r="F304" s="168" t="n">
        <v>20</v>
      </c>
      <c r="G304" s="168" t="n">
        <v>2514</v>
      </c>
      <c r="H304" s="168" t="n">
        <v>1949</v>
      </c>
      <c r="I304" s="168" t="n">
        <v>565</v>
      </c>
      <c r="J304" s="169" t="n">
        <v>1005.76</v>
      </c>
      <c r="K304" s="169" t="n">
        <v>974.45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景碩(3189)</t>
        </is>
      </c>
      <c r="E305" s="168" t="n">
        <v>21</v>
      </c>
      <c r="F305" s="168" t="n">
        <v>14</v>
      </c>
      <c r="G305" s="168" t="n">
        <v>2296</v>
      </c>
      <c r="H305" s="168" t="n">
        <v>1531</v>
      </c>
      <c r="I305" s="168" t="n">
        <v>765</v>
      </c>
      <c r="J305" s="169" t="n">
        <v>1093.14</v>
      </c>
      <c r="K305" s="169" t="n">
        <v>1093.71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佳必琪(6197)</t>
        </is>
      </c>
      <c r="E306" s="168" t="n">
        <v>66</v>
      </c>
      <c r="F306" s="168" t="n">
        <v>29</v>
      </c>
      <c r="G306" s="168" t="n">
        <v>2282</v>
      </c>
      <c r="H306" s="168" t="n">
        <v>1009</v>
      </c>
      <c r="I306" s="168" t="n">
        <v>1273</v>
      </c>
      <c r="J306" s="169" t="n">
        <v>345.8</v>
      </c>
      <c r="K306" s="169" t="n">
        <v>348.03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環球晶(6488)</t>
        </is>
      </c>
      <c r="E307" s="168" t="n">
        <v>16</v>
      </c>
      <c r="F307" s="168" t="n">
        <v>14</v>
      </c>
      <c r="G307" s="168" t="n">
        <v>1890</v>
      </c>
      <c r="H307" s="168" t="n">
        <v>1674</v>
      </c>
      <c r="I307" s="168" t="n">
        <v>216</v>
      </c>
      <c r="J307" s="169" t="n">
        <v>1181.38</v>
      </c>
      <c r="K307" s="169" t="n">
        <v>1195.64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環宇-KY(4991)</t>
        </is>
      </c>
      <c r="E308" s="168" t="n">
        <v>30</v>
      </c>
      <c r="F308" s="168" t="n">
        <v>25</v>
      </c>
      <c r="G308" s="168" t="n">
        <v>1580</v>
      </c>
      <c r="H308" s="168" t="n">
        <v>1325</v>
      </c>
      <c r="I308" s="168" t="n">
        <v>255</v>
      </c>
      <c r="J308" s="169" t="n">
        <v>526.7</v>
      </c>
      <c r="K308" s="169" t="n">
        <v>530.04</v>
      </c>
      <c r="L308" s="253">
        <f>F308*(K308-J308)</f>
        <v/>
      </c>
    </row>
    <row r="309" ht="16.5" customHeight="1">
      <c r="A309" s="170" t="n"/>
      <c r="B309" s="170" t="n"/>
      <c r="C309" s="170" t="n"/>
      <c r="D309" s="167" t="inlineStr">
        <is>
          <t>緯穎(6669)</t>
        </is>
      </c>
      <c r="E309" s="168" t="n">
        <v>7</v>
      </c>
      <c r="F309" s="168" t="n">
        <v>1</v>
      </c>
      <c r="G309" s="168" t="n">
        <v>1516</v>
      </c>
      <c r="H309" s="168" t="n">
        <v>117</v>
      </c>
      <c r="I309" s="168" t="n">
        <v>1399</v>
      </c>
      <c r="J309" s="169" t="n">
        <v>2166.43</v>
      </c>
      <c r="K309" s="169" t="n">
        <v>1170</v>
      </c>
      <c r="L309" s="254">
        <f>F309*(K309-J309)</f>
        <v/>
      </c>
    </row>
    <row r="310" ht="16.5" customHeight="1">
      <c r="A310" s="171" t="n"/>
      <c r="B310" s="164" t="inlineStr">
        <is>
          <t>分點</t>
        </is>
      </c>
      <c r="C310" s="164" t="inlineStr">
        <is>
          <t>代號</t>
        </is>
      </c>
      <c r="D310" s="164" t="inlineStr">
        <is>
          <t>標的</t>
        </is>
      </c>
      <c r="E310" s="164" t="inlineStr">
        <is>
          <t>買進(張)</t>
        </is>
      </c>
      <c r="F310" s="164" t="inlineStr">
        <is>
          <t>賣出(張)</t>
        </is>
      </c>
      <c r="G310" s="164" t="inlineStr">
        <is>
          <t>買進(萬元)</t>
        </is>
      </c>
      <c r="H310" s="164" t="inlineStr">
        <is>
          <t>賣出(萬元)</t>
        </is>
      </c>
      <c r="I310" s="164" t="inlineStr">
        <is>
          <t>淨買差(萬元)</t>
        </is>
      </c>
      <c r="J310" s="164" t="inlineStr">
        <is>
          <t>買均</t>
        </is>
      </c>
      <c r="K310" s="164" t="inlineStr">
        <is>
          <t>賣均</t>
        </is>
      </c>
      <c r="L310" s="164" t="inlineStr">
        <is>
          <t>損益(萬)</t>
        </is>
      </c>
    </row>
    <row r="311" ht="16.5" customHeight="1">
      <c r="A311" s="170" t="n"/>
      <c r="B311" s="166" t="inlineStr">
        <is>
          <t>台新-城東</t>
        </is>
      </c>
      <c r="C311" s="166" t="inlineStr">
        <is>
          <t>9B2r</t>
        </is>
      </c>
      <c r="D311" s="167" t="inlineStr">
        <is>
          <t>聯發科(2454)</t>
        </is>
      </c>
      <c r="E311" s="168" t="n">
        <v>36</v>
      </c>
      <c r="F311" s="168" t="n">
        <v>6</v>
      </c>
      <c r="G311" s="168" t="n">
        <v>18314</v>
      </c>
      <c r="H311" s="168" t="n">
        <v>3144</v>
      </c>
      <c r="I311" s="168" t="n">
        <v>15170</v>
      </c>
      <c r="J311" s="169" t="n">
        <v>5087.14</v>
      </c>
      <c r="K311" s="169" t="n">
        <v>5240.33</v>
      </c>
      <c r="L311" s="253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華新科(2492)</t>
        </is>
      </c>
      <c r="E312" s="168" t="n">
        <v>149</v>
      </c>
      <c r="F312" s="168" t="n">
        <v>119</v>
      </c>
      <c r="G312" s="168" t="n">
        <v>5636</v>
      </c>
      <c r="H312" s="168" t="n">
        <v>4515</v>
      </c>
      <c r="I312" s="168" t="n">
        <v>1121</v>
      </c>
      <c r="J312" s="169" t="n">
        <v>378.28</v>
      </c>
      <c r="K312" s="169" t="n">
        <v>379.38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聯電(2303)</t>
        </is>
      </c>
      <c r="E313" s="168" t="n">
        <v>345</v>
      </c>
      <c r="F313" s="168" t="n">
        <v>83</v>
      </c>
      <c r="G313" s="168" t="n">
        <v>5359</v>
      </c>
      <c r="H313" s="168" t="n">
        <v>1284</v>
      </c>
      <c r="I313" s="168" t="n">
        <v>4075</v>
      </c>
      <c r="J313" s="169" t="n">
        <v>155.33</v>
      </c>
      <c r="K313" s="169" t="n">
        <v>154.69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大立光(3008)</t>
        </is>
      </c>
      <c r="E314" s="168" t="n">
        <v>7</v>
      </c>
      <c r="F314" s="168" t="n">
        <v>6</v>
      </c>
      <c r="G314" s="168" t="n">
        <v>4995</v>
      </c>
      <c r="H314" s="168" t="n">
        <v>4367</v>
      </c>
      <c r="I314" s="168" t="n">
        <v>628</v>
      </c>
      <c r="J314" s="169" t="n">
        <v>7135.43</v>
      </c>
      <c r="K314" s="169" t="n">
        <v>7278.33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欣興(3037)</t>
        </is>
      </c>
      <c r="E315" s="168" t="n">
        <v>30</v>
      </c>
      <c r="F315" s="168" t="n">
        <v>17</v>
      </c>
      <c r="G315" s="168" t="n">
        <v>4031</v>
      </c>
      <c r="H315" s="168" t="n">
        <v>2275</v>
      </c>
      <c r="I315" s="168" t="n">
        <v>1756</v>
      </c>
      <c r="J315" s="169" t="n">
        <v>1343.53</v>
      </c>
      <c r="K315" s="169" t="n">
        <v>1338.35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國巨*(2327)</t>
        </is>
      </c>
      <c r="E316" s="168" t="n">
        <v>57</v>
      </c>
      <c r="F316" s="168" t="n">
        <v>39</v>
      </c>
      <c r="G316" s="168" t="n">
        <v>3585</v>
      </c>
      <c r="H316" s="168" t="n">
        <v>2431</v>
      </c>
      <c r="I316" s="168" t="n">
        <v>1154</v>
      </c>
      <c r="J316" s="169" t="n">
        <v>628.96</v>
      </c>
      <c r="K316" s="169" t="n">
        <v>623.26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光頡(3624)</t>
        </is>
      </c>
      <c r="E317" s="168" t="n">
        <v>204</v>
      </c>
      <c r="F317" s="168" t="n">
        <v>59</v>
      </c>
      <c r="G317" s="168" t="n">
        <v>3115</v>
      </c>
      <c r="H317" s="168" t="n">
        <v>865</v>
      </c>
      <c r="I317" s="168" t="n">
        <v>2250</v>
      </c>
      <c r="J317" s="169" t="n">
        <v>152.71</v>
      </c>
      <c r="K317" s="169" t="n">
        <v>146.56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力成(6239)</t>
        </is>
      </c>
      <c r="E318" s="168" t="n">
        <v>95</v>
      </c>
      <c r="F318" s="168" t="n">
        <v>22</v>
      </c>
      <c r="G318" s="168" t="n">
        <v>2851</v>
      </c>
      <c r="H318" s="168" t="n">
        <v>655</v>
      </c>
      <c r="I318" s="168" t="n">
        <v>2196</v>
      </c>
      <c r="J318" s="169" t="n">
        <v>300.08</v>
      </c>
      <c r="K318" s="169" t="n">
        <v>297.64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彰銀(2801)</t>
        </is>
      </c>
      <c r="E319" s="168" t="n">
        <v>924</v>
      </c>
      <c r="F319" s="168" t="n">
        <v>0</v>
      </c>
      <c r="G319" s="168" t="n">
        <v>2521</v>
      </c>
      <c r="H319" s="168" t="n">
        <v>1</v>
      </c>
      <c r="I319" s="168" t="n">
        <v>2520</v>
      </c>
      <c r="J319" s="169" t="n">
        <v>27.28</v>
      </c>
      <c r="K319" s="169" t="n">
        <v>0</v>
      </c>
      <c r="L319" s="253">
        <f>F319*(K319-J319)</f>
        <v/>
      </c>
    </row>
    <row r="320" ht="16.5" customHeight="1">
      <c r="A320" s="170" t="n"/>
      <c r="B320" s="170" t="n"/>
      <c r="C320" s="170" t="n"/>
      <c r="D320" s="167" t="inlineStr">
        <is>
          <t>南電(8046)</t>
        </is>
      </c>
      <c r="E320" s="168" t="n">
        <v>16</v>
      </c>
      <c r="F320" s="168" t="n">
        <v>9</v>
      </c>
      <c r="G320" s="168" t="n">
        <v>2412</v>
      </c>
      <c r="H320" s="168" t="n">
        <v>1324</v>
      </c>
      <c r="I320" s="168" t="n">
        <v>1088</v>
      </c>
      <c r="J320" s="169" t="n">
        <v>1507.25</v>
      </c>
      <c r="K320" s="169" t="n">
        <v>1470.56</v>
      </c>
      <c r="L320" s="254">
        <f>F320*(K320-J320)</f>
        <v/>
      </c>
    </row>
    <row r="321" ht="16.5" customHeight="1">
      <c r="A321" s="171" t="n"/>
      <c r="B321" s="164" t="inlineStr">
        <is>
          <t>分點</t>
        </is>
      </c>
      <c r="C321" s="164" t="inlineStr">
        <is>
          <t>代號</t>
        </is>
      </c>
      <c r="D321" s="164" t="inlineStr">
        <is>
          <t>標的</t>
        </is>
      </c>
      <c r="E321" s="164" t="inlineStr">
        <is>
          <t>買進(張)</t>
        </is>
      </c>
      <c r="F321" s="164" t="inlineStr">
        <is>
          <t>賣出(張)</t>
        </is>
      </c>
      <c r="G321" s="164" t="inlineStr">
        <is>
          <t>買進(萬元)</t>
        </is>
      </c>
      <c r="H321" s="164" t="inlineStr">
        <is>
          <t>賣出(萬元)</t>
        </is>
      </c>
      <c r="I321" s="164" t="inlineStr">
        <is>
          <t>淨買差(萬元)</t>
        </is>
      </c>
      <c r="J321" s="164" t="inlineStr">
        <is>
          <t>買均</t>
        </is>
      </c>
      <c r="K321" s="164" t="inlineStr">
        <is>
          <t>賣均</t>
        </is>
      </c>
      <c r="L321" s="164" t="inlineStr">
        <is>
          <t>損益(萬)</t>
        </is>
      </c>
    </row>
    <row r="322" ht="16.5" customHeight="1">
      <c r="A322" s="170" t="n"/>
      <c r="B322" s="166" t="inlineStr">
        <is>
          <t>元大-館前</t>
        </is>
      </c>
      <c r="C322" s="166" t="inlineStr">
        <is>
          <t>984K</t>
        </is>
      </c>
      <c r="D322" s="167" t="inlineStr">
        <is>
          <t>華邦電(2344)</t>
        </is>
      </c>
      <c r="E322" s="168" t="n">
        <v>2045</v>
      </c>
      <c r="F322" s="168" t="n">
        <v>76</v>
      </c>
      <c r="G322" s="168" t="n">
        <v>36711</v>
      </c>
      <c r="H322" s="168" t="n">
        <v>1368</v>
      </c>
      <c r="I322" s="168" t="n">
        <v>35343</v>
      </c>
      <c r="J322" s="169" t="n">
        <v>179.52</v>
      </c>
      <c r="K322" s="169" t="n">
        <v>180.07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創意(3443)</t>
        </is>
      </c>
      <c r="E323" s="168" t="n">
        <v>32</v>
      </c>
      <c r="F323" s="168" t="n">
        <v>5</v>
      </c>
      <c r="G323" s="168" t="n">
        <v>27809</v>
      </c>
      <c r="H323" s="168" t="n">
        <v>4464</v>
      </c>
      <c r="I323" s="168" t="n">
        <v>23345</v>
      </c>
      <c r="J323" s="169" t="n">
        <v>8690.25</v>
      </c>
      <c r="K323" s="169" t="n">
        <v>8927.799999999999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台半(5425)</t>
        </is>
      </c>
      <c r="E324" s="168" t="n">
        <v>1155</v>
      </c>
      <c r="F324" s="168" t="n">
        <v>686</v>
      </c>
      <c r="G324" s="168" t="n">
        <v>12660</v>
      </c>
      <c r="H324" s="168" t="n">
        <v>7624</v>
      </c>
      <c r="I324" s="168" t="n">
        <v>5036</v>
      </c>
      <c r="J324" s="169" t="n">
        <v>109.61</v>
      </c>
      <c r="K324" s="169" t="n">
        <v>111.13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南電(8046)</t>
        </is>
      </c>
      <c r="E325" s="168" t="n">
        <v>59</v>
      </c>
      <c r="F325" s="168" t="n">
        <v>8</v>
      </c>
      <c r="G325" s="168" t="n">
        <v>9016</v>
      </c>
      <c r="H325" s="168" t="n">
        <v>1159</v>
      </c>
      <c r="I325" s="168" t="n">
        <v>7857</v>
      </c>
      <c r="J325" s="169" t="n">
        <v>1528.05</v>
      </c>
      <c r="K325" s="169" t="n">
        <v>1449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華新科(2492)</t>
        </is>
      </c>
      <c r="E326" s="168" t="n">
        <v>166</v>
      </c>
      <c r="F326" s="168" t="n">
        <v>147</v>
      </c>
      <c r="G326" s="168" t="n">
        <v>6124</v>
      </c>
      <c r="H326" s="168" t="n">
        <v>5422</v>
      </c>
      <c r="I326" s="168" t="n">
        <v>702</v>
      </c>
      <c r="J326" s="169" t="n">
        <v>368.93</v>
      </c>
      <c r="K326" s="169" t="n">
        <v>368.84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鴻海(2317)</t>
        </is>
      </c>
      <c r="E327" s="168" t="n">
        <v>182</v>
      </c>
      <c r="F327" s="168" t="n">
        <v>32</v>
      </c>
      <c r="G327" s="168" t="n">
        <v>4626</v>
      </c>
      <c r="H327" s="168" t="n">
        <v>809</v>
      </c>
      <c r="I327" s="168" t="n">
        <v>3817</v>
      </c>
      <c r="J327" s="169" t="n">
        <v>254.17</v>
      </c>
      <c r="K327" s="169" t="n">
        <v>252.75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聯電(2303)</t>
        </is>
      </c>
      <c r="E328" s="168" t="n">
        <v>296</v>
      </c>
      <c r="F328" s="168" t="n">
        <v>154</v>
      </c>
      <c r="G328" s="168" t="n">
        <v>4607</v>
      </c>
      <c r="H328" s="168" t="n">
        <v>2395</v>
      </c>
      <c r="I328" s="168" t="n">
        <v>2212</v>
      </c>
      <c r="J328" s="169" t="n">
        <v>155.65</v>
      </c>
      <c r="K328" s="169" t="n">
        <v>155.51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國巨*(2327)</t>
        </is>
      </c>
      <c r="E329" s="168" t="n">
        <v>69</v>
      </c>
      <c r="F329" s="168" t="n">
        <v>58</v>
      </c>
      <c r="G329" s="168" t="n">
        <v>4313</v>
      </c>
      <c r="H329" s="168" t="n">
        <v>3614</v>
      </c>
      <c r="I329" s="168" t="n">
        <v>699</v>
      </c>
      <c r="J329" s="169" t="n">
        <v>625.0599999999999</v>
      </c>
      <c r="K329" s="169" t="n">
        <v>623.17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台塑化(6505)</t>
        </is>
      </c>
      <c r="E330" s="168" t="n">
        <v>427</v>
      </c>
      <c r="F330" s="168" t="n">
        <v>321</v>
      </c>
      <c r="G330" s="168" t="n">
        <v>4267</v>
      </c>
      <c r="H330" s="168" t="n">
        <v>3222</v>
      </c>
      <c r="I330" s="168" t="n">
        <v>1045</v>
      </c>
      <c r="J330" s="169" t="n">
        <v>99.94</v>
      </c>
      <c r="K330" s="169" t="n">
        <v>100.38</v>
      </c>
      <c r="L330" s="253">
        <f>F330*(K330-J330)</f>
        <v/>
      </c>
    </row>
    <row r="331" ht="16.5" customHeight="1">
      <c r="A331" s="170" t="n"/>
      <c r="B331" s="170" t="n"/>
      <c r="C331" s="170" t="n"/>
      <c r="D331" s="167" t="inlineStr">
        <is>
          <t>友達(2409)</t>
        </is>
      </c>
      <c r="E331" s="168" t="n">
        <v>801</v>
      </c>
      <c r="F331" s="168" t="n">
        <v>357</v>
      </c>
      <c r="G331" s="168" t="n">
        <v>3245</v>
      </c>
      <c r="H331" s="168" t="n">
        <v>1469</v>
      </c>
      <c r="I331" s="168" t="n">
        <v>1776</v>
      </c>
      <c r="J331" s="169" t="n">
        <v>40.52</v>
      </c>
      <c r="K331" s="169" t="n">
        <v>41.15</v>
      </c>
      <c r="L331" s="253">
        <f>F331*(K331-J331)</f>
        <v/>
      </c>
    </row>
    <row r="332" ht="16.5" customHeight="1">
      <c r="A332" s="171" t="n"/>
      <c r="B332" s="164" t="inlineStr">
        <is>
          <t>分點</t>
        </is>
      </c>
      <c r="C332" s="164" t="inlineStr">
        <is>
          <t>代號</t>
        </is>
      </c>
      <c r="D332" s="164" t="inlineStr">
        <is>
          <t>標的</t>
        </is>
      </c>
      <c r="E332" s="164" t="inlineStr">
        <is>
          <t>買進(張)</t>
        </is>
      </c>
      <c r="F332" s="164" t="inlineStr">
        <is>
          <t>賣出(張)</t>
        </is>
      </c>
      <c r="G332" s="164" t="inlineStr">
        <is>
          <t>買進(萬元)</t>
        </is>
      </c>
      <c r="H332" s="164" t="inlineStr">
        <is>
          <t>賣出(萬元)</t>
        </is>
      </c>
      <c r="I332" s="164" t="inlineStr">
        <is>
          <t>淨買差(萬元)</t>
        </is>
      </c>
      <c r="J332" s="164" t="inlineStr">
        <is>
          <t>買均</t>
        </is>
      </c>
      <c r="K332" s="164" t="inlineStr">
        <is>
          <t>賣均</t>
        </is>
      </c>
      <c r="L332" s="164" t="inlineStr">
        <is>
          <t>損益(萬)</t>
        </is>
      </c>
    </row>
    <row r="333" ht="16.5" customHeight="1">
      <c r="A333" s="170" t="n"/>
      <c r="B333" s="166" t="inlineStr">
        <is>
          <t>元大-內湖</t>
        </is>
      </c>
      <c r="C333" s="166" t="inlineStr">
        <is>
          <t>989N</t>
        </is>
      </c>
      <c r="D333" s="167" t="inlineStr">
        <is>
          <t>精測(6510)</t>
        </is>
      </c>
      <c r="E333" s="168" t="n">
        <v>39</v>
      </c>
      <c r="F333" s="168" t="n">
        <v>4</v>
      </c>
      <c r="G333" s="168" t="n">
        <v>12316</v>
      </c>
      <c r="H333" s="168" t="n">
        <v>1254</v>
      </c>
      <c r="I333" s="168" t="n">
        <v>11062</v>
      </c>
      <c r="J333" s="169" t="n">
        <v>3158</v>
      </c>
      <c r="K333" s="169" t="n">
        <v>3134.5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聯電(2303)</t>
        </is>
      </c>
      <c r="E334" s="168" t="n">
        <v>422</v>
      </c>
      <c r="F334" s="168" t="n">
        <v>159</v>
      </c>
      <c r="G334" s="168" t="n">
        <v>6573</v>
      </c>
      <c r="H334" s="168" t="n">
        <v>2472</v>
      </c>
      <c r="I334" s="168" t="n">
        <v>4101</v>
      </c>
      <c r="J334" s="169" t="n">
        <v>155.77</v>
      </c>
      <c r="K334" s="169" t="n">
        <v>155.48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世芯-KY(3661)</t>
        </is>
      </c>
      <c r="E335" s="168" t="n">
        <v>14</v>
      </c>
      <c r="F335" s="168" t="n">
        <v>7</v>
      </c>
      <c r="G335" s="168" t="n">
        <v>5589</v>
      </c>
      <c r="H335" s="168" t="n">
        <v>2668</v>
      </c>
      <c r="I335" s="168" t="n">
        <v>2921</v>
      </c>
      <c r="J335" s="169" t="n">
        <v>3992.21</v>
      </c>
      <c r="K335" s="169" t="n">
        <v>3811.43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友達(2409)</t>
        </is>
      </c>
      <c r="E336" s="168" t="n">
        <v>1317</v>
      </c>
      <c r="F336" s="168" t="n">
        <v>740</v>
      </c>
      <c r="G336" s="168" t="n">
        <v>5378</v>
      </c>
      <c r="H336" s="168" t="n">
        <v>3054</v>
      </c>
      <c r="I336" s="168" t="n">
        <v>2324</v>
      </c>
      <c r="J336" s="169" t="n">
        <v>40.84</v>
      </c>
      <c r="K336" s="169" t="n">
        <v>41.27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國巨*(2327)</t>
        </is>
      </c>
      <c r="E337" s="168" t="n">
        <v>62</v>
      </c>
      <c r="F337" s="168" t="n">
        <v>53</v>
      </c>
      <c r="G337" s="168" t="n">
        <v>3875</v>
      </c>
      <c r="H337" s="168" t="n">
        <v>3342</v>
      </c>
      <c r="I337" s="168" t="n">
        <v>533</v>
      </c>
      <c r="J337" s="169" t="n">
        <v>625</v>
      </c>
      <c r="K337" s="169" t="n">
        <v>630.47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華新科(2492)</t>
        </is>
      </c>
      <c r="E338" s="168" t="n">
        <v>101</v>
      </c>
      <c r="F338" s="168" t="n">
        <v>69</v>
      </c>
      <c r="G338" s="168" t="n">
        <v>3825</v>
      </c>
      <c r="H338" s="168" t="n">
        <v>2622</v>
      </c>
      <c r="I338" s="168" t="n">
        <v>1203</v>
      </c>
      <c r="J338" s="169" t="n">
        <v>378.71</v>
      </c>
      <c r="K338" s="169" t="n">
        <v>380.03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晶技(3042)</t>
        </is>
      </c>
      <c r="E339" s="168" t="n">
        <v>163</v>
      </c>
      <c r="F339" s="168" t="n">
        <v>35</v>
      </c>
      <c r="G339" s="168" t="n">
        <v>3681</v>
      </c>
      <c r="H339" s="168" t="n">
        <v>777</v>
      </c>
      <c r="I339" s="168" t="n">
        <v>2904</v>
      </c>
      <c r="J339" s="169" t="n">
        <v>225.83</v>
      </c>
      <c r="K339" s="169" t="n">
        <v>222.11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環宇-KY(4991)</t>
        </is>
      </c>
      <c r="E340" s="168" t="n">
        <v>65</v>
      </c>
      <c r="F340" s="168" t="n">
        <v>7</v>
      </c>
      <c r="G340" s="168" t="n">
        <v>3459</v>
      </c>
      <c r="H340" s="168" t="n">
        <v>371</v>
      </c>
      <c r="I340" s="168" t="n">
        <v>3088</v>
      </c>
      <c r="J340" s="169" t="n">
        <v>532.15</v>
      </c>
      <c r="K340" s="169" t="n">
        <v>530.14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台虹(8039)</t>
        </is>
      </c>
      <c r="E341" s="168" t="n">
        <v>82</v>
      </c>
      <c r="F341" s="168" t="n">
        <v>65</v>
      </c>
      <c r="G341" s="168" t="n">
        <v>2492</v>
      </c>
      <c r="H341" s="168" t="n">
        <v>1978</v>
      </c>
      <c r="I341" s="168" t="n">
        <v>514</v>
      </c>
      <c r="J341" s="169" t="n">
        <v>303.95</v>
      </c>
      <c r="K341" s="169" t="n">
        <v>304.32</v>
      </c>
      <c r="L341" s="253">
        <f>F341*(K341-J341)</f>
        <v/>
      </c>
    </row>
    <row r="342" ht="16.5" customHeight="1">
      <c r="A342" s="170" t="n"/>
      <c r="B342" s="170" t="n"/>
      <c r="C342" s="170" t="n"/>
      <c r="D342" s="167" t="inlineStr">
        <is>
          <t>環球晶(6488)</t>
        </is>
      </c>
      <c r="E342" s="168" t="n">
        <v>18</v>
      </c>
      <c r="F342" s="168" t="n">
        <v>8</v>
      </c>
      <c r="G342" s="168" t="n">
        <v>2160</v>
      </c>
      <c r="H342" s="168" t="n">
        <v>909</v>
      </c>
      <c r="I342" s="168" t="n">
        <v>1251</v>
      </c>
      <c r="J342" s="169" t="n">
        <v>1199.83</v>
      </c>
      <c r="K342" s="169" t="n">
        <v>1136.75</v>
      </c>
      <c r="L342" s="254">
        <f>F342*(K342-J342)</f>
        <v/>
      </c>
    </row>
    <row r="343" ht="16.5" customHeight="1">
      <c r="A343" s="171" t="n"/>
      <c r="B343" s="164" t="inlineStr">
        <is>
          <t>分點</t>
        </is>
      </c>
      <c r="C343" s="164" t="inlineStr">
        <is>
          <t>代號</t>
        </is>
      </c>
      <c r="D343" s="164" t="inlineStr">
        <is>
          <t>標的</t>
        </is>
      </c>
      <c r="E343" s="164" t="inlineStr">
        <is>
          <t>買進(張)</t>
        </is>
      </c>
      <c r="F343" s="164" t="inlineStr">
        <is>
          <t>賣出(張)</t>
        </is>
      </c>
      <c r="G343" s="164" t="inlineStr">
        <is>
          <t>買進(萬元)</t>
        </is>
      </c>
      <c r="H343" s="164" t="inlineStr">
        <is>
          <t>賣出(萬元)</t>
        </is>
      </c>
      <c r="I343" s="164" t="inlineStr">
        <is>
          <t>淨買差(萬元)</t>
        </is>
      </c>
      <c r="J343" s="164" t="inlineStr">
        <is>
          <t>買均</t>
        </is>
      </c>
      <c r="K343" s="164" t="inlineStr">
        <is>
          <t>賣均</t>
        </is>
      </c>
      <c r="L343" s="164" t="inlineStr">
        <is>
          <t>損益(萬)</t>
        </is>
      </c>
    </row>
    <row r="344" ht="16.5" customHeight="1">
      <c r="A344" s="170" t="n"/>
      <c r="B344" s="166" t="inlineStr">
        <is>
          <t>凱基-高美館</t>
        </is>
      </c>
      <c r="C344" s="166" t="inlineStr">
        <is>
          <t>9215</t>
        </is>
      </c>
      <c r="D344" s="167" t="inlineStr">
        <is>
          <t>聯電(2303)</t>
        </is>
      </c>
      <c r="E344" s="168" t="n">
        <v>442</v>
      </c>
      <c r="F344" s="168" t="n">
        <v>206</v>
      </c>
      <c r="G344" s="168" t="n">
        <v>6964</v>
      </c>
      <c r="H344" s="168" t="n">
        <v>3234</v>
      </c>
      <c r="I344" s="168" t="n">
        <v>3730</v>
      </c>
      <c r="J344" s="169" t="n">
        <v>157.56</v>
      </c>
      <c r="K344" s="169" t="n">
        <v>157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友達(2409)</t>
        </is>
      </c>
      <c r="E345" s="168" t="n">
        <v>1066</v>
      </c>
      <c r="F345" s="168" t="n">
        <v>822</v>
      </c>
      <c r="G345" s="168" t="n">
        <v>4400</v>
      </c>
      <c r="H345" s="168" t="n">
        <v>3355</v>
      </c>
      <c r="I345" s="168" t="n">
        <v>1045</v>
      </c>
      <c r="J345" s="169" t="n">
        <v>41.28</v>
      </c>
      <c r="K345" s="169" t="n">
        <v>40.82</v>
      </c>
      <c r="L345" s="254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聯茂(6213)</t>
        </is>
      </c>
      <c r="E346" s="168" t="n">
        <v>50</v>
      </c>
      <c r="F346" s="168" t="n">
        <v>18</v>
      </c>
      <c r="G346" s="168" t="n">
        <v>3630</v>
      </c>
      <c r="H346" s="168" t="n">
        <v>1330</v>
      </c>
      <c r="I346" s="168" t="n">
        <v>2300</v>
      </c>
      <c r="J346" s="169" t="n">
        <v>725.92</v>
      </c>
      <c r="K346" s="169" t="n">
        <v>739.17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群創(3481)</t>
        </is>
      </c>
      <c r="E347" s="168" t="n">
        <v>655</v>
      </c>
      <c r="F347" s="168" t="n">
        <v>559</v>
      </c>
      <c r="G347" s="168" t="n">
        <v>3570</v>
      </c>
      <c r="H347" s="168" t="n">
        <v>2975</v>
      </c>
      <c r="I347" s="168" t="n">
        <v>595</v>
      </c>
      <c r="J347" s="169" t="n">
        <v>54.51</v>
      </c>
      <c r="K347" s="169" t="n">
        <v>53.22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南亞科(2408)</t>
        </is>
      </c>
      <c r="E348" s="168" t="n">
        <v>55</v>
      </c>
      <c r="F348" s="168" t="n">
        <v>43</v>
      </c>
      <c r="G348" s="168" t="n">
        <v>2900</v>
      </c>
      <c r="H348" s="168" t="n">
        <v>2298</v>
      </c>
      <c r="I348" s="168" t="n">
        <v>602</v>
      </c>
      <c r="J348" s="169" t="n">
        <v>527.25</v>
      </c>
      <c r="K348" s="169" t="n">
        <v>534.3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大綜(3147)</t>
        </is>
      </c>
      <c r="E349" s="168" t="n">
        <v>86</v>
      </c>
      <c r="F349" s="168" t="n">
        <v>2</v>
      </c>
      <c r="G349" s="168" t="n">
        <v>2311</v>
      </c>
      <c r="H349" s="168" t="n">
        <v>55</v>
      </c>
      <c r="I349" s="168" t="n">
        <v>2256</v>
      </c>
      <c r="J349" s="169" t="n">
        <v>268.74</v>
      </c>
      <c r="K349" s="169" t="n">
        <v>274.5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景碩(3189)</t>
        </is>
      </c>
      <c r="E350" s="168" t="n">
        <v>21</v>
      </c>
      <c r="F350" s="168" t="n">
        <v>18</v>
      </c>
      <c r="G350" s="168" t="n">
        <v>2263</v>
      </c>
      <c r="H350" s="168" t="n">
        <v>1968</v>
      </c>
      <c r="I350" s="168" t="n">
        <v>295</v>
      </c>
      <c r="J350" s="169" t="n">
        <v>1077.52</v>
      </c>
      <c r="K350" s="169" t="n">
        <v>1093.33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環球晶(6488)</t>
        </is>
      </c>
      <c r="E351" s="168" t="n">
        <v>18</v>
      </c>
      <c r="F351" s="168" t="n">
        <v>9</v>
      </c>
      <c r="G351" s="168" t="n">
        <v>2135</v>
      </c>
      <c r="H351" s="168" t="n">
        <v>1033</v>
      </c>
      <c r="I351" s="168" t="n">
        <v>1102</v>
      </c>
      <c r="J351" s="169" t="n">
        <v>1186.28</v>
      </c>
      <c r="K351" s="169" t="n">
        <v>1147.33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廣達(2382)</t>
        </is>
      </c>
      <c r="E352" s="168" t="n">
        <v>50</v>
      </c>
      <c r="F352" s="168" t="n">
        <v>5</v>
      </c>
      <c r="G352" s="168" t="n">
        <v>1658</v>
      </c>
      <c r="H352" s="168" t="n">
        <v>176</v>
      </c>
      <c r="I352" s="168" t="n">
        <v>1482</v>
      </c>
      <c r="J352" s="169" t="n">
        <v>331.7</v>
      </c>
      <c r="K352" s="169" t="n">
        <v>351.4</v>
      </c>
      <c r="L352" s="253">
        <f>F352*(K352-J352)</f>
        <v/>
      </c>
    </row>
    <row r="353" ht="16.5" customHeight="1">
      <c r="A353" s="170" t="n"/>
      <c r="B353" s="170" t="n"/>
      <c r="C353" s="170" t="n"/>
      <c r="D353" s="167" t="inlineStr">
        <is>
          <t>光寶科(2301)</t>
        </is>
      </c>
      <c r="E353" s="168" t="n">
        <v>43</v>
      </c>
      <c r="F353" s="168" t="n">
        <v>30</v>
      </c>
      <c r="G353" s="168" t="n">
        <v>1276</v>
      </c>
      <c r="H353" s="168" t="n">
        <v>904</v>
      </c>
      <c r="I353" s="168" t="n">
        <v>372</v>
      </c>
      <c r="J353" s="169" t="n">
        <v>296.84</v>
      </c>
      <c r="K353" s="169" t="n">
        <v>301.2</v>
      </c>
      <c r="L353" s="253">
        <f>F353*(K353-J353)</f>
        <v/>
      </c>
    </row>
    <row r="354" ht="16.5" customHeight="1">
      <c r="A354" s="171" t="n"/>
      <c r="B354" s="164" t="inlineStr">
        <is>
          <t>分點</t>
        </is>
      </c>
      <c r="C354" s="164" t="inlineStr">
        <is>
          <t>代號</t>
        </is>
      </c>
      <c r="D354" s="164" t="inlineStr">
        <is>
          <t>標的</t>
        </is>
      </c>
      <c r="E354" s="164" t="inlineStr">
        <is>
          <t>買進(張)</t>
        </is>
      </c>
      <c r="F354" s="164" t="inlineStr">
        <is>
          <t>賣出(張)</t>
        </is>
      </c>
      <c r="G354" s="164" t="inlineStr">
        <is>
          <t>買進(萬元)</t>
        </is>
      </c>
      <c r="H354" s="164" t="inlineStr">
        <is>
          <t>賣出(萬元)</t>
        </is>
      </c>
      <c r="I354" s="164" t="inlineStr">
        <is>
          <t>淨買差(萬元)</t>
        </is>
      </c>
      <c r="J354" s="164" t="inlineStr">
        <is>
          <t>買均</t>
        </is>
      </c>
      <c r="K354" s="164" t="inlineStr">
        <is>
          <t>賣均</t>
        </is>
      </c>
      <c r="L354" s="164" t="inlineStr">
        <is>
          <t>損益(萬)</t>
        </is>
      </c>
    </row>
    <row r="355" ht="16.5" customHeight="1">
      <c r="A355" s="170" t="n"/>
      <c r="B355" s="166" t="inlineStr">
        <is>
          <t>台新-大昌</t>
        </is>
      </c>
      <c r="C355" s="166" t="inlineStr">
        <is>
          <t>9B2D</t>
        </is>
      </c>
      <c r="D355" s="167" t="inlineStr">
        <is>
          <t>波若威(3163)</t>
        </is>
      </c>
      <c r="E355" s="168" t="n">
        <v>80</v>
      </c>
      <c r="F355" s="168" t="n">
        <v>1</v>
      </c>
      <c r="G355" s="168" t="n">
        <v>5712</v>
      </c>
      <c r="H355" s="168" t="n">
        <v>74</v>
      </c>
      <c r="I355" s="168" t="n">
        <v>5638</v>
      </c>
      <c r="J355" s="169" t="n">
        <v>713.98</v>
      </c>
      <c r="K355" s="169" t="n">
        <v>745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聯電(2303)</t>
        </is>
      </c>
      <c r="E356" s="168" t="n">
        <v>242</v>
      </c>
      <c r="F356" s="168" t="n">
        <v>73</v>
      </c>
      <c r="G356" s="168" t="n">
        <v>3747</v>
      </c>
      <c r="H356" s="168" t="n">
        <v>1119</v>
      </c>
      <c r="I356" s="168" t="n">
        <v>2628</v>
      </c>
      <c r="J356" s="169" t="n">
        <v>154.84</v>
      </c>
      <c r="K356" s="169" t="n">
        <v>153.29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友達(2409)</t>
        </is>
      </c>
      <c r="E357" s="168" t="n">
        <v>814</v>
      </c>
      <c r="F357" s="168" t="n">
        <v>311</v>
      </c>
      <c r="G357" s="168" t="n">
        <v>3281</v>
      </c>
      <c r="H357" s="168" t="n">
        <v>1278</v>
      </c>
      <c r="I357" s="168" t="n">
        <v>2003</v>
      </c>
      <c r="J357" s="169" t="n">
        <v>40.31</v>
      </c>
      <c r="K357" s="169" t="n">
        <v>41.11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國巨*(2327)</t>
        </is>
      </c>
      <c r="E358" s="168" t="n">
        <v>39</v>
      </c>
      <c r="F358" s="168" t="n">
        <v>19</v>
      </c>
      <c r="G358" s="168" t="n">
        <v>2464</v>
      </c>
      <c r="H358" s="168" t="n">
        <v>1214</v>
      </c>
      <c r="I358" s="168" t="n">
        <v>1250</v>
      </c>
      <c r="J358" s="169" t="n">
        <v>631.6900000000001</v>
      </c>
      <c r="K358" s="169" t="n">
        <v>639.05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聯茂(6213)</t>
        </is>
      </c>
      <c r="E359" s="168" t="n">
        <v>30</v>
      </c>
      <c r="F359" s="168" t="n">
        <v>16</v>
      </c>
      <c r="G359" s="168" t="n">
        <v>2268</v>
      </c>
      <c r="H359" s="168" t="n">
        <v>1220</v>
      </c>
      <c r="I359" s="168" t="n">
        <v>1048</v>
      </c>
      <c r="J359" s="169" t="n">
        <v>755.87</v>
      </c>
      <c r="K359" s="169" t="n">
        <v>762.75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信驊(5274)</t>
        </is>
      </c>
      <c r="E360" s="168" t="n">
        <v>1</v>
      </c>
      <c r="F360" s="168" t="n">
        <v>1</v>
      </c>
      <c r="G360" s="168" t="n">
        <v>1962</v>
      </c>
      <c r="H360" s="168" t="n">
        <v>19</v>
      </c>
      <c r="I360" s="168" t="n">
        <v>1943</v>
      </c>
      <c r="J360" s="169" t="n">
        <v>19625</v>
      </c>
      <c r="K360" s="169" t="n">
        <v>194</v>
      </c>
      <c r="L360" s="254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群創(3481)</t>
        </is>
      </c>
      <c r="E361" s="168" t="n">
        <v>354</v>
      </c>
      <c r="F361" s="168" t="n">
        <v>243</v>
      </c>
      <c r="G361" s="168" t="n">
        <v>1900</v>
      </c>
      <c r="H361" s="168" t="n">
        <v>1321</v>
      </c>
      <c r="I361" s="168" t="n">
        <v>579</v>
      </c>
      <c r="J361" s="169" t="n">
        <v>53.66</v>
      </c>
      <c r="K361" s="169" t="n">
        <v>54.35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穎崴(6515)</t>
        </is>
      </c>
      <c r="E362" s="168" t="n">
        <v>2</v>
      </c>
      <c r="F362" s="168" t="n">
        <v>2</v>
      </c>
      <c r="G362" s="168" t="n">
        <v>1306</v>
      </c>
      <c r="H362" s="168" t="n">
        <v>1052</v>
      </c>
      <c r="I362" s="168" t="n">
        <v>254</v>
      </c>
      <c r="J362" s="169" t="n">
        <v>6532</v>
      </c>
      <c r="K362" s="169" t="n">
        <v>5261.5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欣興(3037)</t>
        </is>
      </c>
      <c r="E363" s="168" t="n">
        <v>10</v>
      </c>
      <c r="F363" s="168" t="n">
        <v>7</v>
      </c>
      <c r="G363" s="168" t="n">
        <v>1268</v>
      </c>
      <c r="H363" s="168" t="n">
        <v>947</v>
      </c>
      <c r="I363" s="168" t="n">
        <v>321</v>
      </c>
      <c r="J363" s="169" t="n">
        <v>1268.1</v>
      </c>
      <c r="K363" s="169" t="n">
        <v>1353</v>
      </c>
      <c r="L363" s="253">
        <f>F363*(K363-J363)</f>
        <v/>
      </c>
    </row>
    <row r="364" ht="16.5" customHeight="1">
      <c r="A364" s="170" t="n"/>
      <c r="B364" s="170" t="n"/>
      <c r="C364" s="170" t="n"/>
      <c r="D364" s="167" t="inlineStr">
        <is>
          <t>TPK-KY(3673)</t>
        </is>
      </c>
      <c r="E364" s="168" t="n">
        <v>104</v>
      </c>
      <c r="F364" s="168" t="n">
        <v>6</v>
      </c>
      <c r="G364" s="168" t="n">
        <v>811</v>
      </c>
      <c r="H364" s="168" t="n">
        <v>46</v>
      </c>
      <c r="I364" s="168" t="n">
        <v>765</v>
      </c>
      <c r="J364" s="169" t="n">
        <v>77.95</v>
      </c>
      <c r="K364" s="169" t="n">
        <v>77.33</v>
      </c>
      <c r="L364" s="254">
        <f>F364*(K364-J364)</f>
        <v/>
      </c>
    </row>
    <row r="365" ht="16.5" customHeight="1">
      <c r="A365" s="172" t="inlineStr">
        <is>
          <t>高手</t>
        </is>
      </c>
      <c r="B365" s="172" t="inlineStr">
        <is>
          <t>分點</t>
        </is>
      </c>
      <c r="C365" s="172" t="inlineStr">
        <is>
          <t>代號</t>
        </is>
      </c>
      <c r="D365" s="172" t="inlineStr">
        <is>
          <t>標的</t>
        </is>
      </c>
      <c r="E365" s="172" t="inlineStr">
        <is>
          <t>買進(張)</t>
        </is>
      </c>
      <c r="F365" s="172" t="inlineStr">
        <is>
          <t>賣出(張)</t>
        </is>
      </c>
      <c r="G365" s="172" t="inlineStr">
        <is>
          <t>買進(萬元)</t>
        </is>
      </c>
      <c r="H365" s="172" t="inlineStr">
        <is>
          <t>賣出(萬元)</t>
        </is>
      </c>
      <c r="I365" s="172" t="inlineStr">
        <is>
          <t>淨買差(萬元)</t>
        </is>
      </c>
      <c r="J365" s="172" t="inlineStr">
        <is>
          <t>買均</t>
        </is>
      </c>
      <c r="K365" s="172" t="inlineStr">
        <is>
          <t>賣均</t>
        </is>
      </c>
      <c r="L365" s="172" t="inlineStr">
        <is>
          <t>損益(萬)</t>
        </is>
      </c>
    </row>
    <row r="366" ht="16.5" customHeight="1">
      <c r="A366" s="173" t="inlineStr">
        <is>
          <t>Tradow</t>
        </is>
      </c>
      <c r="B366" s="174" t="inlineStr">
        <is>
          <t>台新-松德</t>
        </is>
      </c>
      <c r="C366" s="174" t="inlineStr">
        <is>
          <t>9B2a</t>
        </is>
      </c>
      <c r="D366" s="175" t="inlineStr">
        <is>
          <t>健策(3653)</t>
        </is>
      </c>
      <c r="E366" s="176" t="n">
        <v>12</v>
      </c>
      <c r="F366" s="176" t="n">
        <v>3</v>
      </c>
      <c r="G366" s="176" t="n">
        <v>8618</v>
      </c>
      <c r="H366" s="176" t="n">
        <v>2382</v>
      </c>
      <c r="I366" s="176" t="n">
        <v>6236</v>
      </c>
      <c r="J366" s="177" t="n">
        <v>7181.58</v>
      </c>
      <c r="K366" s="177" t="n">
        <v>7938.33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聯發科(2454)</t>
        </is>
      </c>
      <c r="E367" s="176" t="n">
        <v>14</v>
      </c>
      <c r="F367" s="176" t="n">
        <v>2</v>
      </c>
      <c r="G367" s="176" t="n">
        <v>7417</v>
      </c>
      <c r="H367" s="176" t="n">
        <v>1081</v>
      </c>
      <c r="I367" s="176" t="n">
        <v>6336</v>
      </c>
      <c r="J367" s="177" t="n">
        <v>5298.14</v>
      </c>
      <c r="K367" s="177" t="n">
        <v>5404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欣興(3037)</t>
        </is>
      </c>
      <c r="E368" s="176" t="n">
        <v>52</v>
      </c>
      <c r="F368" s="176" t="n">
        <v>16</v>
      </c>
      <c r="G368" s="176" t="n">
        <v>7330</v>
      </c>
      <c r="H368" s="176" t="n">
        <v>2240</v>
      </c>
      <c r="I368" s="176" t="n">
        <v>5090</v>
      </c>
      <c r="J368" s="177" t="n">
        <v>1409.62</v>
      </c>
      <c r="K368" s="177" t="n">
        <v>1399.81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旺矽(6223)</t>
        </is>
      </c>
      <c r="E369" s="176" t="n">
        <v>13</v>
      </c>
      <c r="F369" s="176" t="n">
        <v>6</v>
      </c>
      <c r="G369" s="176" t="n">
        <v>7008</v>
      </c>
      <c r="H369" s="176" t="n">
        <v>3252</v>
      </c>
      <c r="I369" s="176" t="n">
        <v>3756</v>
      </c>
      <c r="J369" s="177" t="n">
        <v>5391.08</v>
      </c>
      <c r="K369" s="177" t="n">
        <v>5420.17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穎崴(6515)</t>
        </is>
      </c>
      <c r="E370" s="176" t="n">
        <v>9</v>
      </c>
      <c r="F370" s="176" t="n">
        <v>8</v>
      </c>
      <c r="G370" s="176" t="n">
        <v>5872</v>
      </c>
      <c r="H370" s="176" t="n">
        <v>4884</v>
      </c>
      <c r="I370" s="176" t="n">
        <v>988</v>
      </c>
      <c r="J370" s="177" t="n">
        <v>6524.11</v>
      </c>
      <c r="K370" s="177" t="n">
        <v>6105.38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華新科(2492)</t>
        </is>
      </c>
      <c r="E371" s="176" t="n">
        <v>135</v>
      </c>
      <c r="F371" s="176" t="n">
        <v>86</v>
      </c>
      <c r="G371" s="176" t="n">
        <v>5169</v>
      </c>
      <c r="H371" s="176" t="n">
        <v>3247</v>
      </c>
      <c r="I371" s="176" t="n">
        <v>1922</v>
      </c>
      <c r="J371" s="177" t="n">
        <v>382.9</v>
      </c>
      <c r="K371" s="177" t="n">
        <v>377.59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昇達科(3491)</t>
        </is>
      </c>
      <c r="E372" s="176" t="n">
        <v>27</v>
      </c>
      <c r="F372" s="176" t="n">
        <v>2</v>
      </c>
      <c r="G372" s="176" t="n">
        <v>4323</v>
      </c>
      <c r="H372" s="176" t="n">
        <v>351</v>
      </c>
      <c r="I372" s="176" t="n">
        <v>3972</v>
      </c>
      <c r="J372" s="177" t="n">
        <v>1601.15</v>
      </c>
      <c r="K372" s="177" t="n">
        <v>1757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群聯(8299)</t>
        </is>
      </c>
      <c r="E373" s="176" t="n">
        <v>17</v>
      </c>
      <c r="F373" s="176" t="n">
        <v>4</v>
      </c>
      <c r="G373" s="176" t="n">
        <v>3584</v>
      </c>
      <c r="H373" s="176" t="n">
        <v>930</v>
      </c>
      <c r="I373" s="176" t="n">
        <v>2654</v>
      </c>
      <c r="J373" s="177" t="n">
        <v>2108.41</v>
      </c>
      <c r="K373" s="177" t="n">
        <v>2324.75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友達(2409)</t>
        </is>
      </c>
      <c r="E374" s="176" t="n">
        <v>853</v>
      </c>
      <c r="F374" s="176" t="n">
        <v>426</v>
      </c>
      <c r="G374" s="176" t="n">
        <v>3447</v>
      </c>
      <c r="H374" s="176" t="n">
        <v>1754</v>
      </c>
      <c r="I374" s="176" t="n">
        <v>1693</v>
      </c>
      <c r="J374" s="177" t="n">
        <v>40.41</v>
      </c>
      <c r="K374" s="177" t="n">
        <v>41.17</v>
      </c>
      <c r="L374" s="253">
        <f>F374*(K374-J374)</f>
        <v/>
      </c>
    </row>
    <row r="375" ht="16.5" customHeight="1">
      <c r="A375" s="178" t="n"/>
      <c r="B375" s="178" t="n"/>
      <c r="C375" s="178" t="n"/>
      <c r="D375" s="175" t="inlineStr">
        <is>
          <t>南電(8046)</t>
        </is>
      </c>
      <c r="E375" s="176" t="n">
        <v>23</v>
      </c>
      <c r="F375" s="176" t="n">
        <v>13</v>
      </c>
      <c r="G375" s="176" t="n">
        <v>3434</v>
      </c>
      <c r="H375" s="176" t="n">
        <v>1920</v>
      </c>
      <c r="I375" s="176" t="n">
        <v>1514</v>
      </c>
      <c r="J375" s="177" t="n">
        <v>1493.09</v>
      </c>
      <c r="K375" s="177" t="n">
        <v>1477</v>
      </c>
      <c r="L375" s="254">
        <f>F375*(K375-J375)</f>
        <v/>
      </c>
    </row>
    <row r="376" ht="16.5" customHeight="1">
      <c r="A376" s="179" t="inlineStr">
        <is>
          <t>高手</t>
        </is>
      </c>
      <c r="B376" s="179" t="inlineStr">
        <is>
          <t>分點</t>
        </is>
      </c>
      <c r="C376" s="179" t="inlineStr">
        <is>
          <t>代號</t>
        </is>
      </c>
      <c r="D376" s="179" t="inlineStr">
        <is>
          <t>標的</t>
        </is>
      </c>
      <c r="E376" s="179" t="inlineStr">
        <is>
          <t>買進(張)</t>
        </is>
      </c>
      <c r="F376" s="179" t="inlineStr">
        <is>
          <t>賣出(張)</t>
        </is>
      </c>
      <c r="G376" s="179" t="inlineStr">
        <is>
          <t>買進(萬元)</t>
        </is>
      </c>
      <c r="H376" s="179" t="inlineStr">
        <is>
          <t>賣出(萬元)</t>
        </is>
      </c>
      <c r="I376" s="179" t="inlineStr">
        <is>
          <t>淨買差(萬元)</t>
        </is>
      </c>
      <c r="J376" s="179" t="inlineStr">
        <is>
          <t>買均</t>
        </is>
      </c>
      <c r="K376" s="179" t="inlineStr">
        <is>
          <t>賣均</t>
        </is>
      </c>
      <c r="L376" s="179" t="inlineStr">
        <is>
          <t>損益(萬)</t>
        </is>
      </c>
    </row>
    <row r="377" ht="16.5" customHeight="1">
      <c r="A377" s="180" t="inlineStr">
        <is>
          <t>巨人傑</t>
        </is>
      </c>
      <c r="B377" s="181" t="inlineStr">
        <is>
          <t>台新-西松</t>
        </is>
      </c>
      <c r="C377" s="181" t="inlineStr">
        <is>
          <t>9B2n</t>
        </is>
      </c>
      <c r="D377" s="182" t="inlineStr">
        <is>
          <t>台光電(2383)</t>
        </is>
      </c>
      <c r="E377" s="183" t="n">
        <v>20</v>
      </c>
      <c r="F377" s="183" t="n">
        <v>0</v>
      </c>
      <c r="G377" s="183" t="n">
        <v>11260</v>
      </c>
      <c r="H377" s="183" t="n">
        <v>64</v>
      </c>
      <c r="I377" s="183" t="n">
        <v>11196</v>
      </c>
      <c r="J377" s="184" t="n">
        <v>5630</v>
      </c>
      <c r="K377" s="184" t="n">
        <v>0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強茂(2481)</t>
        </is>
      </c>
      <c r="E378" s="183" t="n">
        <v>419</v>
      </c>
      <c r="F378" s="183" t="n">
        <v>211</v>
      </c>
      <c r="G378" s="183" t="n">
        <v>7706</v>
      </c>
      <c r="H378" s="183" t="n">
        <v>3878</v>
      </c>
      <c r="I378" s="183" t="n">
        <v>3828</v>
      </c>
      <c r="J378" s="184" t="n">
        <v>183.91</v>
      </c>
      <c r="K378" s="184" t="n">
        <v>183.8</v>
      </c>
      <c r="L378" s="254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奇鋐(3017)</t>
        </is>
      </c>
      <c r="E379" s="183" t="n">
        <v>21</v>
      </c>
      <c r="F379" s="183" t="n">
        <v>10</v>
      </c>
      <c r="G379" s="183" t="n">
        <v>7335</v>
      </c>
      <c r="H379" s="183" t="n">
        <v>3578</v>
      </c>
      <c r="I379" s="183" t="n">
        <v>3757</v>
      </c>
      <c r="J379" s="184" t="n">
        <v>3492.71</v>
      </c>
      <c r="K379" s="184" t="n">
        <v>3577.9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富喬(1815)</t>
        </is>
      </c>
      <c r="E380" s="183" t="n">
        <v>530</v>
      </c>
      <c r="F380" s="183" t="n">
        <v>453</v>
      </c>
      <c r="G380" s="183" t="n">
        <v>6690</v>
      </c>
      <c r="H380" s="183" t="n">
        <v>5756</v>
      </c>
      <c r="I380" s="183" t="n">
        <v>934</v>
      </c>
      <c r="J380" s="184" t="n">
        <v>126.22</v>
      </c>
      <c r="K380" s="184" t="n">
        <v>127.06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台燿(6274)</t>
        </is>
      </c>
      <c r="E381" s="183" t="n">
        <v>29</v>
      </c>
      <c r="F381" s="183" t="n">
        <v>10</v>
      </c>
      <c r="G381" s="183" t="n">
        <v>4940</v>
      </c>
      <c r="H381" s="183" t="n">
        <v>1823</v>
      </c>
      <c r="I381" s="183" t="n">
        <v>3117</v>
      </c>
      <c r="J381" s="184" t="n">
        <v>1703.45</v>
      </c>
      <c r="K381" s="184" t="n">
        <v>1823.4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台達電(2308)</t>
        </is>
      </c>
      <c r="E382" s="183" t="n">
        <v>25</v>
      </c>
      <c r="F382" s="183" t="n">
        <v>12</v>
      </c>
      <c r="G382" s="183" t="n">
        <v>4782</v>
      </c>
      <c r="H382" s="183" t="n">
        <v>2332</v>
      </c>
      <c r="I382" s="183" t="n">
        <v>2450</v>
      </c>
      <c r="J382" s="184" t="n">
        <v>1912.8</v>
      </c>
      <c r="K382" s="184" t="n">
        <v>1943.5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富世達(6805)</t>
        </is>
      </c>
      <c r="E383" s="183" t="n">
        <v>17</v>
      </c>
      <c r="F383" s="183" t="n">
        <v>9</v>
      </c>
      <c r="G383" s="183" t="n">
        <v>4080</v>
      </c>
      <c r="H383" s="183" t="n">
        <v>2211</v>
      </c>
      <c r="I383" s="183" t="n">
        <v>1869</v>
      </c>
      <c r="J383" s="184" t="n">
        <v>2400</v>
      </c>
      <c r="K383" s="184" t="n">
        <v>2456.89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宜鼎(5289)</t>
        </is>
      </c>
      <c r="E384" s="183" t="n">
        <v>29</v>
      </c>
      <c r="F384" s="183" t="n">
        <v>4</v>
      </c>
      <c r="G384" s="183" t="n">
        <v>3810</v>
      </c>
      <c r="H384" s="183" t="n">
        <v>574</v>
      </c>
      <c r="I384" s="183" t="n">
        <v>3236</v>
      </c>
      <c r="J384" s="184" t="n">
        <v>1313.72</v>
      </c>
      <c r="K384" s="184" t="n">
        <v>1436.25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金像電(2368)</t>
        </is>
      </c>
      <c r="E385" s="183" t="n">
        <v>30</v>
      </c>
      <c r="F385" s="183" t="n">
        <v>5</v>
      </c>
      <c r="G385" s="183" t="n">
        <v>3586</v>
      </c>
      <c r="H385" s="183" t="n">
        <v>591</v>
      </c>
      <c r="I385" s="183" t="n">
        <v>2995</v>
      </c>
      <c r="J385" s="184" t="n">
        <v>1195.17</v>
      </c>
      <c r="K385" s="184" t="n">
        <v>1181.4</v>
      </c>
      <c r="L385" s="254">
        <f>F385*(K385-J385)</f>
        <v/>
      </c>
    </row>
    <row r="386" ht="16.5" customHeight="1">
      <c r="A386" s="185" t="n"/>
      <c r="B386" s="185" t="n"/>
      <c r="C386" s="185" t="n"/>
      <c r="D386" s="182" t="inlineStr">
        <is>
          <t>日月光投控(3711)</t>
        </is>
      </c>
      <c r="E386" s="183" t="n">
        <v>31</v>
      </c>
      <c r="F386" s="183" t="n">
        <v>22</v>
      </c>
      <c r="G386" s="183" t="n">
        <v>2324</v>
      </c>
      <c r="H386" s="183" t="n">
        <v>1602</v>
      </c>
      <c r="I386" s="183" t="n">
        <v>722</v>
      </c>
      <c r="J386" s="184" t="n">
        <v>749.58</v>
      </c>
      <c r="K386" s="184" t="n">
        <v>727.95</v>
      </c>
      <c r="L386" s="254">
        <f>F386*(K386-J386)</f>
        <v/>
      </c>
    </row>
    <row r="387" ht="16.5" customHeight="1">
      <c r="A387" s="186" t="n"/>
      <c r="B387" s="179" t="inlineStr">
        <is>
          <t>分點</t>
        </is>
      </c>
      <c r="C387" s="179" t="inlineStr">
        <is>
          <t>代號</t>
        </is>
      </c>
      <c r="D387" s="179" t="inlineStr">
        <is>
          <t>標的</t>
        </is>
      </c>
      <c r="E387" s="179" t="inlineStr">
        <is>
          <t>買進(張)</t>
        </is>
      </c>
      <c r="F387" s="179" t="inlineStr">
        <is>
          <t>賣出(張)</t>
        </is>
      </c>
      <c r="G387" s="179" t="inlineStr">
        <is>
          <t>買進(萬元)</t>
        </is>
      </c>
      <c r="H387" s="179" t="inlineStr">
        <is>
          <t>賣出(萬元)</t>
        </is>
      </c>
      <c r="I387" s="179" t="inlineStr">
        <is>
          <t>淨買差(萬元)</t>
        </is>
      </c>
      <c r="J387" s="179" t="inlineStr">
        <is>
          <t>買均</t>
        </is>
      </c>
      <c r="K387" s="179" t="inlineStr">
        <is>
          <t>賣均</t>
        </is>
      </c>
      <c r="L387" s="179" t="inlineStr">
        <is>
          <t>損益(萬)</t>
        </is>
      </c>
    </row>
    <row r="388" ht="16.5" customHeight="1">
      <c r="A388" s="185" t="n"/>
      <c r="B388" s="181" t="inlineStr">
        <is>
          <t>元大-館前</t>
        </is>
      </c>
      <c r="C388" s="181" t="inlineStr">
        <is>
          <t>984K</t>
        </is>
      </c>
      <c r="D388" s="182" t="inlineStr">
        <is>
          <t>華邦電(2344)</t>
        </is>
      </c>
      <c r="E388" s="183" t="n">
        <v>2045</v>
      </c>
      <c r="F388" s="183" t="n">
        <v>76</v>
      </c>
      <c r="G388" s="183" t="n">
        <v>36711</v>
      </c>
      <c r="H388" s="183" t="n">
        <v>1368</v>
      </c>
      <c r="I388" s="183" t="n">
        <v>35343</v>
      </c>
      <c r="J388" s="184" t="n">
        <v>179.52</v>
      </c>
      <c r="K388" s="184" t="n">
        <v>180.07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創意(3443)</t>
        </is>
      </c>
      <c r="E389" s="183" t="n">
        <v>32</v>
      </c>
      <c r="F389" s="183" t="n">
        <v>5</v>
      </c>
      <c r="G389" s="183" t="n">
        <v>27809</v>
      </c>
      <c r="H389" s="183" t="n">
        <v>4464</v>
      </c>
      <c r="I389" s="183" t="n">
        <v>23345</v>
      </c>
      <c r="J389" s="184" t="n">
        <v>8690.25</v>
      </c>
      <c r="K389" s="184" t="n">
        <v>8927.799999999999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台半(5425)</t>
        </is>
      </c>
      <c r="E390" s="183" t="n">
        <v>1155</v>
      </c>
      <c r="F390" s="183" t="n">
        <v>686</v>
      </c>
      <c r="G390" s="183" t="n">
        <v>12660</v>
      </c>
      <c r="H390" s="183" t="n">
        <v>7624</v>
      </c>
      <c r="I390" s="183" t="n">
        <v>5036</v>
      </c>
      <c r="J390" s="184" t="n">
        <v>109.61</v>
      </c>
      <c r="K390" s="184" t="n">
        <v>111.13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南電(8046)</t>
        </is>
      </c>
      <c r="E391" s="183" t="n">
        <v>59</v>
      </c>
      <c r="F391" s="183" t="n">
        <v>8</v>
      </c>
      <c r="G391" s="183" t="n">
        <v>9016</v>
      </c>
      <c r="H391" s="183" t="n">
        <v>1159</v>
      </c>
      <c r="I391" s="183" t="n">
        <v>7857</v>
      </c>
      <c r="J391" s="184" t="n">
        <v>1528.05</v>
      </c>
      <c r="K391" s="184" t="n">
        <v>1449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華新科(2492)</t>
        </is>
      </c>
      <c r="E392" s="183" t="n">
        <v>166</v>
      </c>
      <c r="F392" s="183" t="n">
        <v>147</v>
      </c>
      <c r="G392" s="183" t="n">
        <v>6124</v>
      </c>
      <c r="H392" s="183" t="n">
        <v>5422</v>
      </c>
      <c r="I392" s="183" t="n">
        <v>702</v>
      </c>
      <c r="J392" s="184" t="n">
        <v>368.93</v>
      </c>
      <c r="K392" s="184" t="n">
        <v>368.84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鴻海(2317)</t>
        </is>
      </c>
      <c r="E393" s="183" t="n">
        <v>182</v>
      </c>
      <c r="F393" s="183" t="n">
        <v>32</v>
      </c>
      <c r="G393" s="183" t="n">
        <v>4626</v>
      </c>
      <c r="H393" s="183" t="n">
        <v>809</v>
      </c>
      <c r="I393" s="183" t="n">
        <v>3817</v>
      </c>
      <c r="J393" s="184" t="n">
        <v>254.17</v>
      </c>
      <c r="K393" s="184" t="n">
        <v>252.75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聯電(2303)</t>
        </is>
      </c>
      <c r="E394" s="183" t="n">
        <v>296</v>
      </c>
      <c r="F394" s="183" t="n">
        <v>154</v>
      </c>
      <c r="G394" s="183" t="n">
        <v>4607</v>
      </c>
      <c r="H394" s="183" t="n">
        <v>2395</v>
      </c>
      <c r="I394" s="183" t="n">
        <v>2212</v>
      </c>
      <c r="J394" s="184" t="n">
        <v>155.65</v>
      </c>
      <c r="K394" s="184" t="n">
        <v>155.51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國巨*(2327)</t>
        </is>
      </c>
      <c r="E395" s="183" t="n">
        <v>69</v>
      </c>
      <c r="F395" s="183" t="n">
        <v>58</v>
      </c>
      <c r="G395" s="183" t="n">
        <v>4313</v>
      </c>
      <c r="H395" s="183" t="n">
        <v>3614</v>
      </c>
      <c r="I395" s="183" t="n">
        <v>699</v>
      </c>
      <c r="J395" s="184" t="n">
        <v>625.0599999999999</v>
      </c>
      <c r="K395" s="184" t="n">
        <v>623.17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台塑化(6505)</t>
        </is>
      </c>
      <c r="E396" s="183" t="n">
        <v>427</v>
      </c>
      <c r="F396" s="183" t="n">
        <v>321</v>
      </c>
      <c r="G396" s="183" t="n">
        <v>4267</v>
      </c>
      <c r="H396" s="183" t="n">
        <v>3222</v>
      </c>
      <c r="I396" s="183" t="n">
        <v>1045</v>
      </c>
      <c r="J396" s="184" t="n">
        <v>99.94</v>
      </c>
      <c r="K396" s="184" t="n">
        <v>100.38</v>
      </c>
      <c r="L396" s="253">
        <f>F396*(K396-J396)</f>
        <v/>
      </c>
    </row>
    <row r="397" ht="16.5" customHeight="1">
      <c r="A397" s="185" t="n"/>
      <c r="B397" s="185" t="n"/>
      <c r="C397" s="185" t="n"/>
      <c r="D397" s="182" t="inlineStr">
        <is>
          <t>友達(2409)</t>
        </is>
      </c>
      <c r="E397" s="183" t="n">
        <v>801</v>
      </c>
      <c r="F397" s="183" t="n">
        <v>357</v>
      </c>
      <c r="G397" s="183" t="n">
        <v>3245</v>
      </c>
      <c r="H397" s="183" t="n">
        <v>1469</v>
      </c>
      <c r="I397" s="183" t="n">
        <v>1776</v>
      </c>
      <c r="J397" s="184" t="n">
        <v>40.52</v>
      </c>
      <c r="K397" s="184" t="n">
        <v>41.15</v>
      </c>
      <c r="L397" s="253">
        <f>F397*(K397-J397)</f>
        <v/>
      </c>
    </row>
    <row r="398" ht="16.5" customHeight="1">
      <c r="A398" s="186" t="n"/>
      <c r="B398" s="179" t="inlineStr">
        <is>
          <t>分點</t>
        </is>
      </c>
      <c r="C398" s="179" t="inlineStr">
        <is>
          <t>代號</t>
        </is>
      </c>
      <c r="D398" s="179" t="inlineStr">
        <is>
          <t>標的</t>
        </is>
      </c>
      <c r="E398" s="179" t="inlineStr">
        <is>
          <t>買進(張)</t>
        </is>
      </c>
      <c r="F398" s="179" t="inlineStr">
        <is>
          <t>賣出(張)</t>
        </is>
      </c>
      <c r="G398" s="179" t="inlineStr">
        <is>
          <t>買進(萬元)</t>
        </is>
      </c>
      <c r="H398" s="179" t="inlineStr">
        <is>
          <t>賣出(萬元)</t>
        </is>
      </c>
      <c r="I398" s="179" t="inlineStr">
        <is>
          <t>淨買差(萬元)</t>
        </is>
      </c>
      <c r="J398" s="179" t="inlineStr">
        <is>
          <t>買均</t>
        </is>
      </c>
      <c r="K398" s="179" t="inlineStr">
        <is>
          <t>賣均</t>
        </is>
      </c>
      <c r="L398" s="179" t="inlineStr">
        <is>
          <t>損益(萬)</t>
        </is>
      </c>
    </row>
    <row r="399" ht="16.5" customHeight="1">
      <c r="A399" s="185" t="n"/>
      <c r="B399" s="181" t="inlineStr">
        <is>
          <t>台新-文心</t>
        </is>
      </c>
      <c r="C399" s="181" t="inlineStr">
        <is>
          <t>9B2z</t>
        </is>
      </c>
      <c r="D399" s="182" t="inlineStr">
        <is>
          <t>台積電(2330)</t>
        </is>
      </c>
      <c r="E399" s="183" t="n">
        <v>80</v>
      </c>
      <c r="F399" s="183" t="n">
        <v>15</v>
      </c>
      <c r="G399" s="183" t="n">
        <v>20508</v>
      </c>
      <c r="H399" s="183" t="n">
        <v>3830</v>
      </c>
      <c r="I399" s="183" t="n">
        <v>16678</v>
      </c>
      <c r="J399" s="184" t="n">
        <v>2563.47</v>
      </c>
      <c r="K399" s="184" t="n">
        <v>2553.07</v>
      </c>
      <c r="L399" s="254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國巨*(2327)</t>
        </is>
      </c>
      <c r="E400" s="183" t="n">
        <v>85</v>
      </c>
      <c r="F400" s="183" t="n">
        <v>49</v>
      </c>
      <c r="G400" s="183" t="n">
        <v>5355</v>
      </c>
      <c r="H400" s="183" t="n">
        <v>3134</v>
      </c>
      <c r="I400" s="183" t="n">
        <v>2221</v>
      </c>
      <c r="J400" s="184" t="n">
        <v>629.98</v>
      </c>
      <c r="K400" s="184" t="n">
        <v>639.53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大立光(3008)</t>
        </is>
      </c>
      <c r="E401" s="183" t="n">
        <v>6</v>
      </c>
      <c r="F401" s="183" t="n">
        <v>2</v>
      </c>
      <c r="G401" s="183" t="n">
        <v>4152</v>
      </c>
      <c r="H401" s="183" t="n">
        <v>1614</v>
      </c>
      <c r="I401" s="183" t="n">
        <v>2538</v>
      </c>
      <c r="J401" s="184" t="n">
        <v>6919.33</v>
      </c>
      <c r="K401" s="184" t="n">
        <v>8070.5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華新科(2492)</t>
        </is>
      </c>
      <c r="E402" s="183" t="n">
        <v>110</v>
      </c>
      <c r="F402" s="183" t="n">
        <v>63</v>
      </c>
      <c r="G402" s="183" t="n">
        <v>4119</v>
      </c>
      <c r="H402" s="183" t="n">
        <v>2406</v>
      </c>
      <c r="I402" s="183" t="n">
        <v>1713</v>
      </c>
      <c r="J402" s="184" t="n">
        <v>374.45</v>
      </c>
      <c r="K402" s="184" t="n">
        <v>381.87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友達(2409)</t>
        </is>
      </c>
      <c r="E403" s="183" t="n">
        <v>885</v>
      </c>
      <c r="F403" s="183" t="n">
        <v>419</v>
      </c>
      <c r="G403" s="183" t="n">
        <v>3579</v>
      </c>
      <c r="H403" s="183" t="n">
        <v>1693</v>
      </c>
      <c r="I403" s="183" t="n">
        <v>1886</v>
      </c>
      <c r="J403" s="184" t="n">
        <v>40.44</v>
      </c>
      <c r="K403" s="184" t="n">
        <v>40.41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臻鼎-KY(4958)</t>
        </is>
      </c>
      <c r="E404" s="183" t="n">
        <v>53</v>
      </c>
      <c r="F404" s="183" t="n">
        <v>37</v>
      </c>
      <c r="G404" s="183" t="n">
        <v>3034</v>
      </c>
      <c r="H404" s="183" t="n">
        <v>2136</v>
      </c>
      <c r="I404" s="183" t="n">
        <v>898</v>
      </c>
      <c r="J404" s="184" t="n">
        <v>572.4299999999999</v>
      </c>
      <c r="K404" s="184" t="n">
        <v>577.35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環球晶(6488)</t>
        </is>
      </c>
      <c r="E405" s="183" t="n">
        <v>18</v>
      </c>
      <c r="F405" s="183" t="n">
        <v>13</v>
      </c>
      <c r="G405" s="183" t="n">
        <v>2121</v>
      </c>
      <c r="H405" s="183" t="n">
        <v>1588</v>
      </c>
      <c r="I405" s="183" t="n">
        <v>533</v>
      </c>
      <c r="J405" s="184" t="n">
        <v>1178.39</v>
      </c>
      <c r="K405" s="184" t="n">
        <v>1221.62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群創(3481)</t>
        </is>
      </c>
      <c r="E406" s="183" t="n">
        <v>317</v>
      </c>
      <c r="F406" s="183" t="n">
        <v>269</v>
      </c>
      <c r="G406" s="183" t="n">
        <v>1710</v>
      </c>
      <c r="H406" s="183" t="n">
        <v>1462</v>
      </c>
      <c r="I406" s="183" t="n">
        <v>248</v>
      </c>
      <c r="J406" s="184" t="n">
        <v>53.94</v>
      </c>
      <c r="K406" s="184" t="n">
        <v>54.34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力成(6239)</t>
        </is>
      </c>
      <c r="E407" s="183" t="n">
        <v>40</v>
      </c>
      <c r="F407" s="183" t="n">
        <v>9</v>
      </c>
      <c r="G407" s="183" t="n">
        <v>1207</v>
      </c>
      <c r="H407" s="183" t="n">
        <v>260</v>
      </c>
      <c r="I407" s="183" t="n">
        <v>947</v>
      </c>
      <c r="J407" s="184" t="n">
        <v>301.73</v>
      </c>
      <c r="K407" s="184" t="n">
        <v>289.44</v>
      </c>
      <c r="L407" s="254">
        <f>F407*(K407-J407)</f>
        <v/>
      </c>
    </row>
    <row r="408" ht="16.5" customHeight="1">
      <c r="A408" s="185" t="n"/>
      <c r="B408" s="185" t="n"/>
      <c r="C408" s="185" t="n"/>
      <c r="D408" s="182" t="inlineStr">
        <is>
          <t>聖暉*(5536)</t>
        </is>
      </c>
      <c r="E408" s="183" t="n">
        <v>12</v>
      </c>
      <c r="F408" s="183" t="n">
        <v>1</v>
      </c>
      <c r="G408" s="183" t="n">
        <v>1149</v>
      </c>
      <c r="H408" s="183" t="n">
        <v>128</v>
      </c>
      <c r="I408" s="183" t="n">
        <v>1021</v>
      </c>
      <c r="J408" s="184" t="n">
        <v>957.25</v>
      </c>
      <c r="K408" s="184" t="n">
        <v>1285</v>
      </c>
      <c r="L408" s="253">
        <f>F408*(K408-J408)</f>
        <v/>
      </c>
    </row>
    <row r="409" ht="16.5" customHeight="1">
      <c r="A409" s="187" t="inlineStr">
        <is>
          <t>高手</t>
        </is>
      </c>
      <c r="B409" s="187" t="inlineStr">
        <is>
          <t>分點</t>
        </is>
      </c>
      <c r="C409" s="187" t="inlineStr">
        <is>
          <t>代號</t>
        </is>
      </c>
      <c r="D409" s="187" t="inlineStr">
        <is>
          <t>標的</t>
        </is>
      </c>
      <c r="E409" s="187" t="inlineStr">
        <is>
          <t>買進(張)</t>
        </is>
      </c>
      <c r="F409" s="187" t="inlineStr">
        <is>
          <t>賣出(張)</t>
        </is>
      </c>
      <c r="G409" s="187" t="inlineStr">
        <is>
          <t>買進(萬元)</t>
        </is>
      </c>
      <c r="H409" s="187" t="inlineStr">
        <is>
          <t>賣出(萬元)</t>
        </is>
      </c>
      <c r="I409" s="187" t="inlineStr">
        <is>
          <t>淨買差(萬元)</t>
        </is>
      </c>
      <c r="J409" s="187" t="inlineStr">
        <is>
          <t>買均</t>
        </is>
      </c>
      <c r="K409" s="187" t="inlineStr">
        <is>
          <t>賣均</t>
        </is>
      </c>
      <c r="L409" s="187" t="inlineStr">
        <is>
          <t>損益(萬)</t>
        </is>
      </c>
    </row>
    <row r="410" ht="16.5" customHeight="1">
      <c r="A410" s="188" t="inlineStr">
        <is>
          <t>蔣承翰</t>
        </is>
      </c>
      <c r="B410" s="189" t="inlineStr">
        <is>
          <t>凱基-城中(UC)</t>
        </is>
      </c>
      <c r="C410" s="189" t="inlineStr">
        <is>
          <t>9227</t>
        </is>
      </c>
      <c r="D410" s="194" t="inlineStr">
        <is>
          <t>台燿(6274)</t>
        </is>
      </c>
      <c r="E410" s="195" t="n">
        <v>714</v>
      </c>
      <c r="F410" s="195" t="n">
        <v>20</v>
      </c>
      <c r="G410" s="195" t="n">
        <v>126897</v>
      </c>
      <c r="H410" s="195" t="n">
        <v>3438</v>
      </c>
      <c r="I410" s="195" t="n">
        <v>123459</v>
      </c>
      <c r="J410" s="196" t="n">
        <v>1777.27</v>
      </c>
      <c r="K410" s="196" t="n">
        <v>1718.9</v>
      </c>
      <c r="L410" s="255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金像電(2368)</t>
        </is>
      </c>
      <c r="E411" s="191" t="n">
        <v>508</v>
      </c>
      <c r="F411" s="191" t="n">
        <v>2</v>
      </c>
      <c r="G411" s="191" t="n">
        <v>61719</v>
      </c>
      <c r="H411" s="191" t="n">
        <v>185</v>
      </c>
      <c r="I411" s="191" t="n">
        <v>61534</v>
      </c>
      <c r="J411" s="192" t="n">
        <v>1214.95</v>
      </c>
      <c r="K411" s="192" t="n">
        <v>925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華通(2313)</t>
        </is>
      </c>
      <c r="E412" s="191" t="n">
        <v>2064</v>
      </c>
      <c r="F412" s="191" t="n">
        <v>44</v>
      </c>
      <c r="G412" s="191" t="n">
        <v>51258</v>
      </c>
      <c r="H412" s="191" t="n">
        <v>1075</v>
      </c>
      <c r="I412" s="191" t="n">
        <v>50183</v>
      </c>
      <c r="J412" s="192" t="n">
        <v>248.34</v>
      </c>
      <c r="K412" s="192" t="n">
        <v>244.32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聯茂(6213)</t>
        </is>
      </c>
      <c r="E413" s="191" t="n">
        <v>475</v>
      </c>
      <c r="F413" s="191" t="n">
        <v>9</v>
      </c>
      <c r="G413" s="191" t="n">
        <v>35632</v>
      </c>
      <c r="H413" s="191" t="n">
        <v>680</v>
      </c>
      <c r="I413" s="191" t="n">
        <v>34952</v>
      </c>
      <c r="J413" s="192" t="n">
        <v>750.15</v>
      </c>
      <c r="K413" s="192" t="n">
        <v>756.11</v>
      </c>
      <c r="L413" s="253">
        <f>F413*(K413-J413)</f>
        <v/>
      </c>
    </row>
    <row r="414" ht="16.5" customHeight="1">
      <c r="A414" s="193" t="n"/>
      <c r="B414" s="193" t="n"/>
      <c r="C414" s="193" t="n"/>
      <c r="D414" s="194" t="inlineStr">
        <is>
          <t>台亞(2340)</t>
        </is>
      </c>
      <c r="E414" s="195" t="n">
        <v>6011</v>
      </c>
      <c r="F414" s="195" t="n">
        <v>129</v>
      </c>
      <c r="G414" s="195" t="n">
        <v>30236</v>
      </c>
      <c r="H414" s="195" t="n">
        <v>648</v>
      </c>
      <c r="I414" s="195" t="n">
        <v>29588</v>
      </c>
      <c r="J414" s="196" t="n">
        <v>50.3</v>
      </c>
      <c r="K414" s="196" t="n">
        <v>50.21</v>
      </c>
      <c r="L414" s="255">
        <f>F414*(K414-J414)</f>
        <v/>
      </c>
    </row>
    <row r="415" ht="16.5" customHeight="1">
      <c r="A415" s="193" t="n"/>
      <c r="B415" s="193" t="n"/>
      <c r="C415" s="193" t="n"/>
      <c r="D415" s="190" t="inlineStr">
        <is>
          <t>南亞(1303)</t>
        </is>
      </c>
      <c r="E415" s="191" t="n">
        <v>697</v>
      </c>
      <c r="F415" s="191" t="n">
        <v>59</v>
      </c>
      <c r="G415" s="191" t="n">
        <v>19855</v>
      </c>
      <c r="H415" s="191" t="n">
        <v>1649</v>
      </c>
      <c r="I415" s="191" t="n">
        <v>18206</v>
      </c>
      <c r="J415" s="192" t="n">
        <v>284.87</v>
      </c>
      <c r="K415" s="192" t="n">
        <v>279.47</v>
      </c>
      <c r="L415" s="254">
        <f>F415*(K415-J415)</f>
        <v/>
      </c>
    </row>
    <row r="416" ht="16.5" customHeight="1">
      <c r="A416" s="193" t="n"/>
      <c r="B416" s="193" t="n"/>
      <c r="C416" s="193" t="n"/>
      <c r="D416" s="190" t="inlineStr">
        <is>
          <t>榮科(4989)</t>
        </is>
      </c>
      <c r="E416" s="191" t="n">
        <v>2825</v>
      </c>
      <c r="F416" s="191" t="n">
        <v>5</v>
      </c>
      <c r="G416" s="191" t="n">
        <v>19831</v>
      </c>
      <c r="H416" s="191" t="n">
        <v>34</v>
      </c>
      <c r="I416" s="191" t="n">
        <v>19797</v>
      </c>
      <c r="J416" s="192" t="n">
        <v>70.2</v>
      </c>
      <c r="K416" s="192" t="n">
        <v>67.2</v>
      </c>
      <c r="L416" s="254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川湖(2059)</t>
        </is>
      </c>
      <c r="E417" s="191" t="n">
        <v>9</v>
      </c>
      <c r="F417" s="191" t="n">
        <v>1</v>
      </c>
      <c r="G417" s="191" t="n">
        <v>12046</v>
      </c>
      <c r="H417" s="191" t="n">
        <v>128</v>
      </c>
      <c r="I417" s="191" t="n">
        <v>11918</v>
      </c>
      <c r="J417" s="192" t="n">
        <v>13384.89</v>
      </c>
      <c r="K417" s="192" t="n">
        <v>1285</v>
      </c>
      <c r="L417" s="254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台光電(2383)</t>
        </is>
      </c>
      <c r="E418" s="191" t="n">
        <v>21</v>
      </c>
      <c r="F418" s="191" t="n">
        <v>0</v>
      </c>
      <c r="G418" s="191" t="n">
        <v>11992</v>
      </c>
      <c r="H418" s="191" t="n">
        <v>135</v>
      </c>
      <c r="I418" s="191" t="n">
        <v>11857</v>
      </c>
      <c r="J418" s="192" t="n">
        <v>5710.48</v>
      </c>
      <c r="K418" s="192" t="n">
        <v>0</v>
      </c>
      <c r="L418" s="253">
        <f>F418*(K418-J418)</f>
        <v/>
      </c>
    </row>
    <row r="419" ht="16.5" customHeight="1">
      <c r="A419" s="193" t="n"/>
      <c r="B419" s="193" t="n"/>
      <c r="C419" s="193" t="n"/>
      <c r="D419" s="190" t="inlineStr">
        <is>
          <t>富鼎(8261)</t>
        </is>
      </c>
      <c r="E419" s="191" t="n">
        <v>540</v>
      </c>
      <c r="F419" s="191" t="n">
        <v>15</v>
      </c>
      <c r="G419" s="191" t="n">
        <v>11061</v>
      </c>
      <c r="H419" s="191" t="n">
        <v>309</v>
      </c>
      <c r="I419" s="191" t="n">
        <v>10752</v>
      </c>
      <c r="J419" s="192" t="n">
        <v>204.83</v>
      </c>
      <c r="K419" s="192" t="n">
        <v>205.87</v>
      </c>
      <c r="L419" s="253">
        <f>F419*(K419-J419)</f>
        <v/>
      </c>
    </row>
    <row r="420" ht="16.5" customHeight="1">
      <c r="A420" s="198" t="n"/>
      <c r="B420" s="187" t="inlineStr">
        <is>
          <t>分點</t>
        </is>
      </c>
      <c r="C420" s="187" t="inlineStr">
        <is>
          <t>代號</t>
        </is>
      </c>
      <c r="D420" s="187" t="inlineStr">
        <is>
          <t>標的</t>
        </is>
      </c>
      <c r="E420" s="187" t="inlineStr">
        <is>
          <t>買進(張)</t>
        </is>
      </c>
      <c r="F420" s="187" t="inlineStr">
        <is>
          <t>賣出(張)</t>
        </is>
      </c>
      <c r="G420" s="187" t="inlineStr">
        <is>
          <t>買進(萬元)</t>
        </is>
      </c>
      <c r="H420" s="187" t="inlineStr">
        <is>
          <t>賣出(萬元)</t>
        </is>
      </c>
      <c r="I420" s="187" t="inlineStr">
        <is>
          <t>淨買差(萬元)</t>
        </is>
      </c>
      <c r="J420" s="187" t="inlineStr">
        <is>
          <t>買均</t>
        </is>
      </c>
      <c r="K420" s="187" t="inlineStr">
        <is>
          <t>賣均</t>
        </is>
      </c>
      <c r="L420" s="187" t="inlineStr">
        <is>
          <t>損益(萬)</t>
        </is>
      </c>
    </row>
    <row r="421" ht="16.5" customHeight="1">
      <c r="A421" s="193" t="n"/>
      <c r="B421" s="189" t="inlineStr">
        <is>
          <t>台新-建北</t>
        </is>
      </c>
      <c r="C421" s="189" t="inlineStr">
        <is>
          <t>9B18</t>
        </is>
      </c>
      <c r="D421" s="190" t="inlineStr">
        <is>
          <t>南亞(1303)</t>
        </is>
      </c>
      <c r="E421" s="191" t="n">
        <v>564</v>
      </c>
      <c r="F421" s="191" t="n">
        <v>494</v>
      </c>
      <c r="G421" s="191" t="n">
        <v>15480</v>
      </c>
      <c r="H421" s="191" t="n">
        <v>13727</v>
      </c>
      <c r="I421" s="191" t="n">
        <v>1753</v>
      </c>
      <c r="J421" s="192" t="n">
        <v>274.47</v>
      </c>
      <c r="K421" s="192" t="n">
        <v>277.87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金居(8358)</t>
        </is>
      </c>
      <c r="E422" s="191" t="n">
        <v>83</v>
      </c>
      <c r="F422" s="191" t="n">
        <v>53</v>
      </c>
      <c r="G422" s="191" t="n">
        <v>4656</v>
      </c>
      <c r="H422" s="191" t="n">
        <v>3012</v>
      </c>
      <c r="I422" s="191" t="n">
        <v>1644</v>
      </c>
      <c r="J422" s="192" t="n">
        <v>561.02</v>
      </c>
      <c r="K422" s="192" t="n">
        <v>568.21</v>
      </c>
      <c r="L422" s="253">
        <f>F422*(K422-J422)</f>
        <v/>
      </c>
    </row>
    <row r="423" ht="16.5" customHeight="1">
      <c r="A423" s="193" t="n"/>
      <c r="B423" s="193" t="n"/>
      <c r="C423" s="193" t="n"/>
      <c r="D423" s="190" t="inlineStr">
        <is>
          <t>台光電(2383)</t>
        </is>
      </c>
      <c r="E423" s="191" t="n">
        <v>5</v>
      </c>
      <c r="F423" s="191" t="n">
        <v>2</v>
      </c>
      <c r="G423" s="191" t="n">
        <v>2829</v>
      </c>
      <c r="H423" s="191" t="n">
        <v>1286</v>
      </c>
      <c r="I423" s="191" t="n">
        <v>1543</v>
      </c>
      <c r="J423" s="192" t="n">
        <v>5657.4</v>
      </c>
      <c r="K423" s="192" t="n">
        <v>6432.5</v>
      </c>
      <c r="L423" s="253">
        <f>F423*(K423-J423)</f>
        <v/>
      </c>
    </row>
    <row r="424" ht="16.5" customHeight="1">
      <c r="A424" s="193" t="n"/>
      <c r="B424" s="193" t="n"/>
      <c r="C424" s="193" t="n"/>
      <c r="D424" s="190" t="inlineStr">
        <is>
          <t>華通(2313)</t>
        </is>
      </c>
      <c r="E424" s="191" t="n">
        <v>96</v>
      </c>
      <c r="F424" s="191" t="n">
        <v>31</v>
      </c>
      <c r="G424" s="191" t="n">
        <v>2365</v>
      </c>
      <c r="H424" s="191" t="n">
        <v>754</v>
      </c>
      <c r="I424" s="191" t="n">
        <v>1611</v>
      </c>
      <c r="J424" s="192" t="n">
        <v>246.36</v>
      </c>
      <c r="K424" s="192" t="n">
        <v>243.32</v>
      </c>
      <c r="L424" s="254">
        <f>F424*(K424-J424)</f>
        <v/>
      </c>
    </row>
    <row r="425" ht="16.5" customHeight="1">
      <c r="A425" s="193" t="n"/>
      <c r="B425" s="193" t="n"/>
      <c r="C425" s="193" t="n"/>
      <c r="D425" s="190" t="inlineStr">
        <is>
          <t>陽程(3498)</t>
        </is>
      </c>
      <c r="E425" s="191" t="n">
        <v>44</v>
      </c>
      <c r="F425" s="191" t="n">
        <v>3</v>
      </c>
      <c r="G425" s="191" t="n">
        <v>996</v>
      </c>
      <c r="H425" s="191" t="n">
        <v>67</v>
      </c>
      <c r="I425" s="191" t="n">
        <v>929</v>
      </c>
      <c r="J425" s="192" t="n">
        <v>226.41</v>
      </c>
      <c r="K425" s="192" t="n">
        <v>223</v>
      </c>
      <c r="L425" s="254">
        <f>F425*(K425-J425)</f>
        <v/>
      </c>
    </row>
    <row r="426" ht="16.5" customHeight="1">
      <c r="A426" s="193" t="n"/>
      <c r="B426" s="193" t="n"/>
      <c r="C426" s="193" t="n"/>
      <c r="D426" s="199" t="inlineStr">
        <is>
          <t>⚪ 今日漲停僅 5 檔</t>
        </is>
      </c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3" t="n"/>
      <c r="B430" s="193" t="n"/>
      <c r="C430" s="193" t="n"/>
      <c r="D430" s="190" t="n"/>
      <c r="E430" s="191" t="n"/>
      <c r="F430" s="191" t="n"/>
      <c r="G430" s="191" t="n"/>
      <c r="H430" s="191" t="n"/>
      <c r="I430" s="191" t="n"/>
      <c r="J430" s="192" t="n"/>
      <c r="K430" s="192" t="n"/>
      <c r="L430" s="252" t="n"/>
    </row>
    <row r="431" ht="16.5" customHeight="1">
      <c r="A431" s="198" t="n"/>
      <c r="B431" s="187" t="inlineStr">
        <is>
          <t>分點</t>
        </is>
      </c>
      <c r="C431" s="187" t="inlineStr">
        <is>
          <t>代號</t>
        </is>
      </c>
      <c r="D431" s="187" t="inlineStr">
        <is>
          <t>標的</t>
        </is>
      </c>
      <c r="E431" s="187" t="inlineStr">
        <is>
          <t>買進(張)</t>
        </is>
      </c>
      <c r="F431" s="187" t="inlineStr">
        <is>
          <t>賣出(張)</t>
        </is>
      </c>
      <c r="G431" s="187" t="inlineStr">
        <is>
          <t>買進(萬元)</t>
        </is>
      </c>
      <c r="H431" s="187" t="inlineStr">
        <is>
          <t>賣出(萬元)</t>
        </is>
      </c>
      <c r="I431" s="187" t="inlineStr">
        <is>
          <t>淨買差(萬元)</t>
        </is>
      </c>
      <c r="J431" s="187" t="inlineStr">
        <is>
          <t>買均</t>
        </is>
      </c>
      <c r="K431" s="187" t="inlineStr">
        <is>
          <t>賣均</t>
        </is>
      </c>
      <c r="L431" s="187" t="inlineStr">
        <is>
          <t>損益(萬)</t>
        </is>
      </c>
    </row>
    <row r="432" ht="16.5" customHeight="1">
      <c r="A432" s="193" t="n"/>
      <c r="B432" s="189" t="inlineStr">
        <is>
          <t>永豐金-南京</t>
        </is>
      </c>
      <c r="C432" s="189" t="inlineStr">
        <is>
          <t>9A9S</t>
        </is>
      </c>
      <c r="D432" s="199" t="inlineStr">
        <is>
          <t>⚪ 此分點今日未搶漲停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193" t="n"/>
      <c r="B441" s="193" t="n"/>
      <c r="C441" s="193" t="n"/>
      <c r="D441" s="190" t="n"/>
      <c r="E441" s="191" t="n"/>
      <c r="F441" s="191" t="n"/>
      <c r="G441" s="191" t="n"/>
      <c r="H441" s="191" t="n"/>
      <c r="I441" s="191" t="n"/>
      <c r="J441" s="192" t="n"/>
      <c r="K441" s="192" t="n"/>
      <c r="L441" s="252" t="n"/>
    </row>
    <row r="442" ht="16.5" customHeight="1">
      <c r="A442" s="200" t="inlineStr">
        <is>
          <t>高手</t>
        </is>
      </c>
      <c r="B442" s="200" t="inlineStr">
        <is>
          <t>分點</t>
        </is>
      </c>
      <c r="C442" s="200" t="inlineStr">
        <is>
          <t>代號</t>
        </is>
      </c>
      <c r="D442" s="200" t="inlineStr">
        <is>
          <t>標的</t>
        </is>
      </c>
      <c r="E442" s="200" t="inlineStr">
        <is>
          <t>買進(張)</t>
        </is>
      </c>
      <c r="F442" s="200" t="inlineStr">
        <is>
          <t>賣出(張)</t>
        </is>
      </c>
      <c r="G442" s="200" t="inlineStr">
        <is>
          <t>買進(萬元)</t>
        </is>
      </c>
      <c r="H442" s="200" t="inlineStr">
        <is>
          <t>賣出(萬元)</t>
        </is>
      </c>
      <c r="I442" s="200" t="inlineStr">
        <is>
          <t>淨買差(萬元)</t>
        </is>
      </c>
      <c r="J442" s="200" t="inlineStr">
        <is>
          <t>買均</t>
        </is>
      </c>
      <c r="K442" s="200" t="inlineStr">
        <is>
          <t>賣均</t>
        </is>
      </c>
      <c r="L442" s="200" t="inlineStr">
        <is>
          <t>損益(萬)</t>
        </is>
      </c>
    </row>
    <row r="443" ht="16.5" customHeight="1">
      <c r="A443" s="201" t="inlineStr">
        <is>
          <t>大牌分析師</t>
        </is>
      </c>
      <c r="B443" s="202" t="inlineStr">
        <is>
          <t>新光-新竹</t>
        </is>
      </c>
      <c r="C443" s="202" t="inlineStr">
        <is>
          <t>8563</t>
        </is>
      </c>
      <c r="D443" s="203" t="inlineStr">
        <is>
          <t>國巨*(2327)</t>
        </is>
      </c>
      <c r="E443" s="204" t="n">
        <v>159</v>
      </c>
      <c r="F443" s="204" t="n">
        <v>128</v>
      </c>
      <c r="G443" s="204" t="n">
        <v>10242</v>
      </c>
      <c r="H443" s="204" t="n">
        <v>8177</v>
      </c>
      <c r="I443" s="204" t="n">
        <v>2065</v>
      </c>
      <c r="J443" s="205" t="n">
        <v>644.1799999999999</v>
      </c>
      <c r="K443" s="205" t="n">
        <v>638.84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聯發科(2454)</t>
        </is>
      </c>
      <c r="E444" s="204" t="n">
        <v>18</v>
      </c>
      <c r="F444" s="204" t="n">
        <v>10</v>
      </c>
      <c r="G444" s="204" t="n">
        <v>9456</v>
      </c>
      <c r="H444" s="204" t="n">
        <v>5395</v>
      </c>
      <c r="I444" s="204" t="n">
        <v>4061</v>
      </c>
      <c r="J444" s="205" t="n">
        <v>5253.44</v>
      </c>
      <c r="K444" s="205" t="n">
        <v>5394.9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聯電(2303)</t>
        </is>
      </c>
      <c r="E445" s="204" t="n">
        <v>515</v>
      </c>
      <c r="F445" s="204" t="n">
        <v>211</v>
      </c>
      <c r="G445" s="204" t="n">
        <v>8038</v>
      </c>
      <c r="H445" s="204" t="n">
        <v>3239</v>
      </c>
      <c r="I445" s="204" t="n">
        <v>4799</v>
      </c>
      <c r="J445" s="205" t="n">
        <v>156.08</v>
      </c>
      <c r="K445" s="205" t="n">
        <v>153.49</v>
      </c>
      <c r="L445" s="254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友達(2409)</t>
        </is>
      </c>
      <c r="E446" s="204" t="n">
        <v>1974</v>
      </c>
      <c r="F446" s="204" t="n">
        <v>1493</v>
      </c>
      <c r="G446" s="204" t="n">
        <v>8010</v>
      </c>
      <c r="H446" s="204" t="n">
        <v>6118</v>
      </c>
      <c r="I446" s="204" t="n">
        <v>1892</v>
      </c>
      <c r="J446" s="205" t="n">
        <v>40.58</v>
      </c>
      <c r="K446" s="205" t="n">
        <v>40.98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大立光(3008)</t>
        </is>
      </c>
      <c r="E447" s="204" t="n">
        <v>10</v>
      </c>
      <c r="F447" s="204" t="n">
        <v>8</v>
      </c>
      <c r="G447" s="204" t="n">
        <v>6401</v>
      </c>
      <c r="H447" s="204" t="n">
        <v>5403</v>
      </c>
      <c r="I447" s="204" t="n">
        <v>998</v>
      </c>
      <c r="J447" s="205" t="n">
        <v>6400.7</v>
      </c>
      <c r="K447" s="205" t="n">
        <v>6753.75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華新科(2492)</t>
        </is>
      </c>
      <c r="E448" s="204" t="n">
        <v>142</v>
      </c>
      <c r="F448" s="204" t="n">
        <v>105</v>
      </c>
      <c r="G448" s="204" t="n">
        <v>5377</v>
      </c>
      <c r="H448" s="204" t="n">
        <v>3987</v>
      </c>
      <c r="I448" s="204" t="n">
        <v>1390</v>
      </c>
      <c r="J448" s="205" t="n">
        <v>378.69</v>
      </c>
      <c r="K448" s="205" t="n">
        <v>379.68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台虹(8039)</t>
        </is>
      </c>
      <c r="E449" s="204" t="n">
        <v>174</v>
      </c>
      <c r="F449" s="204" t="n">
        <v>74</v>
      </c>
      <c r="G449" s="204" t="n">
        <v>5151</v>
      </c>
      <c r="H449" s="204" t="n">
        <v>2219</v>
      </c>
      <c r="I449" s="204" t="n">
        <v>2932</v>
      </c>
      <c r="J449" s="205" t="n">
        <v>296.02</v>
      </c>
      <c r="K449" s="205" t="n">
        <v>299.86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騰輝電子-KY(6672)</t>
        </is>
      </c>
      <c r="E450" s="204" t="n">
        <v>92</v>
      </c>
      <c r="F450" s="204" t="n">
        <v>59</v>
      </c>
      <c r="G450" s="204" t="n">
        <v>4149</v>
      </c>
      <c r="H450" s="204" t="n">
        <v>2650</v>
      </c>
      <c r="I450" s="204" t="n">
        <v>1499</v>
      </c>
      <c r="J450" s="205" t="n">
        <v>450.96</v>
      </c>
      <c r="K450" s="205" t="n">
        <v>449.12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聯亞(3081)</t>
        </is>
      </c>
      <c r="E451" s="204" t="n">
        <v>13</v>
      </c>
      <c r="F451" s="204" t="n">
        <v>9</v>
      </c>
      <c r="G451" s="204" t="n">
        <v>3944</v>
      </c>
      <c r="H451" s="204" t="n">
        <v>2838</v>
      </c>
      <c r="I451" s="204" t="n">
        <v>1106</v>
      </c>
      <c r="J451" s="205" t="n">
        <v>3033.54</v>
      </c>
      <c r="K451" s="205" t="n">
        <v>3153.89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晶技(3042)</t>
        </is>
      </c>
      <c r="E452" s="204" t="n">
        <v>117</v>
      </c>
      <c r="F452" s="204" t="n">
        <v>67</v>
      </c>
      <c r="G452" s="204" t="n">
        <v>2673</v>
      </c>
      <c r="H452" s="204" t="n">
        <v>1507</v>
      </c>
      <c r="I452" s="204" t="n">
        <v>1166</v>
      </c>
      <c r="J452" s="205" t="n">
        <v>228.5</v>
      </c>
      <c r="K452" s="205" t="n">
        <v>224.96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欣銓(3264)</t>
        </is>
      </c>
      <c r="E453" s="204" t="n">
        <v>102</v>
      </c>
      <c r="F453" s="204" t="n">
        <v>70</v>
      </c>
      <c r="G453" s="204" t="n">
        <v>2478</v>
      </c>
      <c r="H453" s="204" t="n">
        <v>1683</v>
      </c>
      <c r="I453" s="204" t="n">
        <v>795</v>
      </c>
      <c r="J453" s="205" t="n">
        <v>242.9</v>
      </c>
      <c r="K453" s="205" t="n">
        <v>240.39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萬潤(6187)</t>
        </is>
      </c>
      <c r="E454" s="204" t="n">
        <v>15</v>
      </c>
      <c r="F454" s="204" t="n">
        <v>6</v>
      </c>
      <c r="G454" s="204" t="n">
        <v>2278</v>
      </c>
      <c r="H454" s="204" t="n">
        <v>917</v>
      </c>
      <c r="I454" s="204" t="n">
        <v>1361</v>
      </c>
      <c r="J454" s="205" t="n">
        <v>1518.6</v>
      </c>
      <c r="K454" s="205" t="n">
        <v>1528.83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合晶(6182)</t>
        </is>
      </c>
      <c r="E455" s="204" t="n">
        <v>149</v>
      </c>
      <c r="F455" s="204" t="n">
        <v>93</v>
      </c>
      <c r="G455" s="204" t="n">
        <v>2034</v>
      </c>
      <c r="H455" s="204" t="n">
        <v>1246</v>
      </c>
      <c r="I455" s="204" t="n">
        <v>788</v>
      </c>
      <c r="J455" s="205" t="n">
        <v>136.5</v>
      </c>
      <c r="K455" s="205" t="n">
        <v>134.01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雙鴻(3324)</t>
        </is>
      </c>
      <c r="E456" s="204" t="n">
        <v>13</v>
      </c>
      <c r="F456" s="204" t="n">
        <v>4</v>
      </c>
      <c r="G456" s="204" t="n">
        <v>1966</v>
      </c>
      <c r="H456" s="204" t="n">
        <v>617</v>
      </c>
      <c r="I456" s="204" t="n">
        <v>1349</v>
      </c>
      <c r="J456" s="205" t="n">
        <v>1512.69</v>
      </c>
      <c r="K456" s="205" t="n">
        <v>1542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尖點(8021)</t>
        </is>
      </c>
      <c r="E457" s="204" t="n">
        <v>31</v>
      </c>
      <c r="F457" s="204" t="n">
        <v>19</v>
      </c>
      <c r="G457" s="204" t="n">
        <v>1716</v>
      </c>
      <c r="H457" s="204" t="n">
        <v>1064</v>
      </c>
      <c r="I457" s="204" t="n">
        <v>652</v>
      </c>
      <c r="J457" s="205" t="n">
        <v>553.65</v>
      </c>
      <c r="K457" s="205" t="n">
        <v>560.26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洋基工程(6691)</t>
        </is>
      </c>
      <c r="E458" s="204" t="n">
        <v>21</v>
      </c>
      <c r="F458" s="204" t="n">
        <v>5</v>
      </c>
      <c r="G458" s="204" t="n">
        <v>1701</v>
      </c>
      <c r="H458" s="204" t="n">
        <v>384</v>
      </c>
      <c r="I458" s="204" t="n">
        <v>1317</v>
      </c>
      <c r="J458" s="205" t="n">
        <v>810</v>
      </c>
      <c r="K458" s="205" t="n">
        <v>767.8</v>
      </c>
      <c r="L458" s="254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頎邦(6147)</t>
        </is>
      </c>
      <c r="E459" s="204" t="n">
        <v>75</v>
      </c>
      <c r="F459" s="204" t="n">
        <v>41</v>
      </c>
      <c r="G459" s="204" t="n">
        <v>1652</v>
      </c>
      <c r="H459" s="204" t="n">
        <v>900</v>
      </c>
      <c r="I459" s="204" t="n">
        <v>752</v>
      </c>
      <c r="J459" s="205" t="n">
        <v>220.23</v>
      </c>
      <c r="K459" s="205" t="n">
        <v>219.39</v>
      </c>
      <c r="L459" s="254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台化(1326)</t>
        </is>
      </c>
      <c r="E460" s="204" t="n">
        <v>214</v>
      </c>
      <c r="F460" s="204" t="n">
        <v>8</v>
      </c>
      <c r="G460" s="204" t="n">
        <v>1545</v>
      </c>
      <c r="H460" s="204" t="n">
        <v>58</v>
      </c>
      <c r="I460" s="204" t="n">
        <v>1487</v>
      </c>
      <c r="J460" s="205" t="n">
        <v>72.18000000000001</v>
      </c>
      <c r="K460" s="205" t="n">
        <v>72.25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京元電子(2449)</t>
        </is>
      </c>
      <c r="E461" s="204" t="n">
        <v>51</v>
      </c>
      <c r="F461" s="204" t="n">
        <v>36</v>
      </c>
      <c r="G461" s="204" t="n">
        <v>1496</v>
      </c>
      <c r="H461" s="204" t="n">
        <v>1054</v>
      </c>
      <c r="I461" s="204" t="n">
        <v>442</v>
      </c>
      <c r="J461" s="205" t="n">
        <v>293.39</v>
      </c>
      <c r="K461" s="205" t="n">
        <v>292.78</v>
      </c>
      <c r="L461" s="254">
        <f>F461*(K461-J461)</f>
        <v/>
      </c>
    </row>
    <row r="462" ht="16.5" customHeight="1">
      <c r="A462" s="206" t="n"/>
      <c r="B462" s="206" t="n"/>
      <c r="C462" s="206" t="n"/>
      <c r="D462" s="203" t="inlineStr">
        <is>
          <t>全新(2455)</t>
        </is>
      </c>
      <c r="E462" s="204" t="n">
        <v>17</v>
      </c>
      <c r="F462" s="204" t="n">
        <v>1</v>
      </c>
      <c r="G462" s="204" t="n">
        <v>1034</v>
      </c>
      <c r="H462" s="204" t="n">
        <v>8</v>
      </c>
      <c r="I462" s="204" t="n">
        <v>1026</v>
      </c>
      <c r="J462" s="205" t="n">
        <v>607.9400000000001</v>
      </c>
      <c r="K462" s="205" t="n">
        <v>77</v>
      </c>
      <c r="L462" s="254">
        <f>F462*(K462-J462)</f>
        <v/>
      </c>
    </row>
    <row r="463" ht="16.5" customHeight="1">
      <c r="A463" s="207" t="inlineStr">
        <is>
          <t>高手</t>
        </is>
      </c>
      <c r="B463" s="207" t="inlineStr">
        <is>
          <t>分點</t>
        </is>
      </c>
      <c r="C463" s="207" t="inlineStr">
        <is>
          <t>代號</t>
        </is>
      </c>
      <c r="D463" s="207" t="inlineStr">
        <is>
          <t>標的</t>
        </is>
      </c>
      <c r="E463" s="207" t="inlineStr">
        <is>
          <t>買進(張)</t>
        </is>
      </c>
      <c r="F463" s="207" t="inlineStr">
        <is>
          <t>賣出(張)</t>
        </is>
      </c>
      <c r="G463" s="207" t="inlineStr">
        <is>
          <t>買進(萬元)</t>
        </is>
      </c>
      <c r="H463" s="207" t="inlineStr">
        <is>
          <t>賣出(萬元)</t>
        </is>
      </c>
      <c r="I463" s="207" t="inlineStr">
        <is>
          <t>淨買差(萬元)</t>
        </is>
      </c>
      <c r="J463" s="207" t="inlineStr">
        <is>
          <t>買均</t>
        </is>
      </c>
      <c r="K463" s="207" t="inlineStr">
        <is>
          <t>賣均</t>
        </is>
      </c>
      <c r="L463" s="207" t="inlineStr">
        <is>
          <t>損益(萬)</t>
        </is>
      </c>
    </row>
    <row r="464" ht="16.5" customHeight="1">
      <c r="A464" s="208" t="inlineStr">
        <is>
          <t>竹科主力分點</t>
        </is>
      </c>
      <c r="B464" s="209" t="inlineStr">
        <is>
          <t>兆豐-新竹</t>
        </is>
      </c>
      <c r="C464" s="209" t="inlineStr">
        <is>
          <t>700V</t>
        </is>
      </c>
      <c r="D464" s="210" t="inlineStr">
        <is>
          <t>南茂(8150)</t>
        </is>
      </c>
      <c r="E464" s="211" t="n">
        <v>817</v>
      </c>
      <c r="F464" s="211" t="n">
        <v>35</v>
      </c>
      <c r="G464" s="211" t="n">
        <v>10563</v>
      </c>
      <c r="H464" s="211" t="n">
        <v>442</v>
      </c>
      <c r="I464" s="211" t="n">
        <v>10121</v>
      </c>
      <c r="J464" s="212" t="n">
        <v>129.29</v>
      </c>
      <c r="K464" s="212" t="n">
        <v>126.37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新唐(4919)</t>
        </is>
      </c>
      <c r="E465" s="211" t="n">
        <v>560</v>
      </c>
      <c r="F465" s="211" t="n">
        <v>163</v>
      </c>
      <c r="G465" s="211" t="n">
        <v>8887</v>
      </c>
      <c r="H465" s="211" t="n">
        <v>2544</v>
      </c>
      <c r="I465" s="211" t="n">
        <v>6343</v>
      </c>
      <c r="J465" s="212" t="n">
        <v>158.69</v>
      </c>
      <c r="K465" s="212" t="n">
        <v>156.07</v>
      </c>
      <c r="L465" s="254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台積電(2330)</t>
        </is>
      </c>
      <c r="E466" s="211" t="n">
        <v>28</v>
      </c>
      <c r="F466" s="211" t="n">
        <v>18</v>
      </c>
      <c r="G466" s="211" t="n">
        <v>7317</v>
      </c>
      <c r="H466" s="211" t="n">
        <v>4707</v>
      </c>
      <c r="I466" s="211" t="n">
        <v>2610</v>
      </c>
      <c r="J466" s="212" t="n">
        <v>2613.36</v>
      </c>
      <c r="K466" s="212" t="n">
        <v>2614.78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晶豪科(3006)</t>
        </is>
      </c>
      <c r="E467" s="211" t="n">
        <v>180</v>
      </c>
      <c r="F467" s="211" t="n">
        <v>14</v>
      </c>
      <c r="G467" s="211" t="n">
        <v>5025</v>
      </c>
      <c r="H467" s="211" t="n">
        <v>390</v>
      </c>
      <c r="I467" s="211" t="n">
        <v>4635</v>
      </c>
      <c r="J467" s="212" t="n">
        <v>279.16</v>
      </c>
      <c r="K467" s="212" t="n">
        <v>278.79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聯電(2303)</t>
        </is>
      </c>
      <c r="E468" s="211" t="n">
        <v>250</v>
      </c>
      <c r="F468" s="211" t="n">
        <v>141</v>
      </c>
      <c r="G468" s="211" t="n">
        <v>3884</v>
      </c>
      <c r="H468" s="211" t="n">
        <v>2206</v>
      </c>
      <c r="I468" s="211" t="n">
        <v>1678</v>
      </c>
      <c r="J468" s="212" t="n">
        <v>155.38</v>
      </c>
      <c r="K468" s="212" t="n">
        <v>156.47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國巨*(2327)</t>
        </is>
      </c>
      <c r="E469" s="211" t="n">
        <v>41</v>
      </c>
      <c r="F469" s="211" t="n">
        <v>33</v>
      </c>
      <c r="G469" s="211" t="n">
        <v>2542</v>
      </c>
      <c r="H469" s="211" t="n">
        <v>2078</v>
      </c>
      <c r="I469" s="211" t="n">
        <v>464</v>
      </c>
      <c r="J469" s="212" t="n">
        <v>620.1</v>
      </c>
      <c r="K469" s="212" t="n">
        <v>629.64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大立光(3008)</t>
        </is>
      </c>
      <c r="E470" s="211" t="n">
        <v>3</v>
      </c>
      <c r="F470" s="211" t="n">
        <v>1</v>
      </c>
      <c r="G470" s="211" t="n">
        <v>2107</v>
      </c>
      <c r="H470" s="211" t="n">
        <v>220</v>
      </c>
      <c r="I470" s="211" t="n">
        <v>1887</v>
      </c>
      <c r="J470" s="212" t="n">
        <v>7022</v>
      </c>
      <c r="K470" s="212" t="n">
        <v>2204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友達(2409)</t>
        </is>
      </c>
      <c r="E471" s="211" t="n">
        <v>480</v>
      </c>
      <c r="F471" s="211" t="n">
        <v>384</v>
      </c>
      <c r="G471" s="211" t="n">
        <v>1955</v>
      </c>
      <c r="H471" s="211" t="n">
        <v>1559</v>
      </c>
      <c r="I471" s="211" t="n">
        <v>396</v>
      </c>
      <c r="J471" s="212" t="n">
        <v>40.74</v>
      </c>
      <c r="K471" s="212" t="n">
        <v>40.6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台虹(8039)</t>
        </is>
      </c>
      <c r="E472" s="211" t="n">
        <v>57</v>
      </c>
      <c r="F472" s="211" t="n">
        <v>46</v>
      </c>
      <c r="G472" s="211" t="n">
        <v>1736</v>
      </c>
      <c r="H472" s="211" t="n">
        <v>1382</v>
      </c>
      <c r="I472" s="211" t="n">
        <v>354</v>
      </c>
      <c r="J472" s="212" t="n">
        <v>304.61</v>
      </c>
      <c r="K472" s="212" t="n">
        <v>300.5</v>
      </c>
      <c r="L472" s="254">
        <f>F472*(K472-J472)</f>
        <v/>
      </c>
    </row>
    <row r="473" ht="16.5" customHeight="1">
      <c r="A473" s="213" t="n"/>
      <c r="B473" s="213" t="n"/>
      <c r="C473" s="213" t="n"/>
      <c r="D473" s="210" t="inlineStr">
        <is>
          <t>群創(3481)</t>
        </is>
      </c>
      <c r="E473" s="211" t="n">
        <v>249</v>
      </c>
      <c r="F473" s="211" t="n">
        <v>211</v>
      </c>
      <c r="G473" s="211" t="n">
        <v>1330</v>
      </c>
      <c r="H473" s="211" t="n">
        <v>1151</v>
      </c>
      <c r="I473" s="211" t="n">
        <v>179</v>
      </c>
      <c r="J473" s="212" t="n">
        <v>53.43</v>
      </c>
      <c r="K473" s="212" t="n">
        <v>54.55</v>
      </c>
      <c r="L473" s="253">
        <f>F473*(K473-J473)</f>
        <v/>
      </c>
    </row>
    <row r="474" ht="16.5" customHeight="1">
      <c r="A474" s="214" t="n"/>
      <c r="B474" s="207" t="inlineStr">
        <is>
          <t>分點</t>
        </is>
      </c>
      <c r="C474" s="207" t="inlineStr">
        <is>
          <t>代號</t>
        </is>
      </c>
      <c r="D474" s="207" t="inlineStr">
        <is>
          <t>標的</t>
        </is>
      </c>
      <c r="E474" s="207" t="inlineStr">
        <is>
          <t>買進(張)</t>
        </is>
      </c>
      <c r="F474" s="207" t="inlineStr">
        <is>
          <t>賣出(張)</t>
        </is>
      </c>
      <c r="G474" s="207" t="inlineStr">
        <is>
          <t>買進(萬元)</t>
        </is>
      </c>
      <c r="H474" s="207" t="inlineStr">
        <is>
          <t>賣出(萬元)</t>
        </is>
      </c>
      <c r="I474" s="207" t="inlineStr">
        <is>
          <t>淨買差(萬元)</t>
        </is>
      </c>
      <c r="J474" s="207" t="inlineStr">
        <is>
          <t>買均</t>
        </is>
      </c>
      <c r="K474" s="207" t="inlineStr">
        <is>
          <t>賣均</t>
        </is>
      </c>
      <c r="L474" s="207" t="inlineStr">
        <is>
          <t>損益(萬)</t>
        </is>
      </c>
    </row>
    <row r="475" ht="16.5" customHeight="1">
      <c r="A475" s="213" t="n"/>
      <c r="B475" s="209" t="inlineStr">
        <is>
          <t>富邦-新竹</t>
        </is>
      </c>
      <c r="C475" s="209" t="inlineStr">
        <is>
          <t>9647</t>
        </is>
      </c>
      <c r="D475" s="210" t="inlineStr">
        <is>
          <t>聯電(2303)</t>
        </is>
      </c>
      <c r="E475" s="211" t="n">
        <v>748</v>
      </c>
      <c r="F475" s="211" t="n">
        <v>249</v>
      </c>
      <c r="G475" s="211" t="n">
        <v>11569</v>
      </c>
      <c r="H475" s="211" t="n">
        <v>3866</v>
      </c>
      <c r="I475" s="211" t="n">
        <v>7703</v>
      </c>
      <c r="J475" s="212" t="n">
        <v>154.67</v>
      </c>
      <c r="K475" s="212" t="n">
        <v>155.24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友達(2409)</t>
        </is>
      </c>
      <c r="E476" s="211" t="n">
        <v>2615</v>
      </c>
      <c r="F476" s="211" t="n">
        <v>1497</v>
      </c>
      <c r="G476" s="211" t="n">
        <v>10607</v>
      </c>
      <c r="H476" s="211" t="n">
        <v>6121</v>
      </c>
      <c r="I476" s="211" t="n">
        <v>4486</v>
      </c>
      <c r="J476" s="212" t="n">
        <v>40.56</v>
      </c>
      <c r="K476" s="212" t="n">
        <v>40.89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國巨*(2327)</t>
        </is>
      </c>
      <c r="E477" s="211" t="n">
        <v>149</v>
      </c>
      <c r="F477" s="211" t="n">
        <v>122</v>
      </c>
      <c r="G477" s="211" t="n">
        <v>9296</v>
      </c>
      <c r="H477" s="211" t="n">
        <v>7644</v>
      </c>
      <c r="I477" s="211" t="n">
        <v>1652</v>
      </c>
      <c r="J477" s="212" t="n">
        <v>623.91</v>
      </c>
      <c r="K477" s="212" t="n">
        <v>626.55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華新科(2492)</t>
        </is>
      </c>
      <c r="E478" s="211" t="n">
        <v>235</v>
      </c>
      <c r="F478" s="211" t="n">
        <v>160</v>
      </c>
      <c r="G478" s="211" t="n">
        <v>8933</v>
      </c>
      <c r="H478" s="211" t="n">
        <v>6050</v>
      </c>
      <c r="I478" s="211" t="n">
        <v>2883</v>
      </c>
      <c r="J478" s="212" t="n">
        <v>380.14</v>
      </c>
      <c r="K478" s="212" t="n">
        <v>378.12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南茂(8150)</t>
        </is>
      </c>
      <c r="E479" s="211" t="n">
        <v>460</v>
      </c>
      <c r="F479" s="211" t="n">
        <v>98</v>
      </c>
      <c r="G479" s="211" t="n">
        <v>5927</v>
      </c>
      <c r="H479" s="211" t="n">
        <v>1222</v>
      </c>
      <c r="I479" s="211" t="n">
        <v>4705</v>
      </c>
      <c r="J479" s="212" t="n">
        <v>128.84</v>
      </c>
      <c r="K479" s="212" t="n">
        <v>124.72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群創(3481)</t>
        </is>
      </c>
      <c r="E480" s="211" t="n">
        <v>1005</v>
      </c>
      <c r="F480" s="211" t="n">
        <v>667</v>
      </c>
      <c r="G480" s="211" t="n">
        <v>5446</v>
      </c>
      <c r="H480" s="211" t="n">
        <v>3584</v>
      </c>
      <c r="I480" s="211" t="n">
        <v>1862</v>
      </c>
      <c r="J480" s="212" t="n">
        <v>54.19</v>
      </c>
      <c r="K480" s="212" t="n">
        <v>53.73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臻鼎-KY(4958)</t>
        </is>
      </c>
      <c r="E481" s="211" t="n">
        <v>76</v>
      </c>
      <c r="F481" s="211" t="n">
        <v>41</v>
      </c>
      <c r="G481" s="211" t="n">
        <v>4390</v>
      </c>
      <c r="H481" s="211" t="n">
        <v>2368</v>
      </c>
      <c r="I481" s="211" t="n">
        <v>2022</v>
      </c>
      <c r="J481" s="212" t="n">
        <v>577.66</v>
      </c>
      <c r="K481" s="212" t="n">
        <v>577.51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智邦(2345)</t>
        </is>
      </c>
      <c r="E482" s="211" t="n">
        <v>18</v>
      </c>
      <c r="F482" s="211" t="n">
        <v>15</v>
      </c>
      <c r="G482" s="211" t="n">
        <v>3776</v>
      </c>
      <c r="H482" s="211" t="n">
        <v>3164</v>
      </c>
      <c r="I482" s="211" t="n">
        <v>612</v>
      </c>
      <c r="J482" s="212" t="n">
        <v>2097.78</v>
      </c>
      <c r="K482" s="212" t="n">
        <v>2109.6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力成(6239)</t>
        </is>
      </c>
      <c r="E483" s="211" t="n">
        <v>115</v>
      </c>
      <c r="F483" s="211" t="n">
        <v>31</v>
      </c>
      <c r="G483" s="211" t="n">
        <v>3440</v>
      </c>
      <c r="H483" s="211" t="n">
        <v>941</v>
      </c>
      <c r="I483" s="211" t="n">
        <v>2499</v>
      </c>
      <c r="J483" s="212" t="n">
        <v>299.1</v>
      </c>
      <c r="K483" s="212" t="n">
        <v>303.61</v>
      </c>
      <c r="L483" s="253">
        <f>F483*(K483-J483)</f>
        <v/>
      </c>
    </row>
    <row r="484" ht="16.5" customHeight="1">
      <c r="A484" s="213" t="n"/>
      <c r="B484" s="213" t="n"/>
      <c r="C484" s="213" t="n"/>
      <c r="D484" s="210" t="inlineStr">
        <is>
          <t>新唐(4919)</t>
        </is>
      </c>
      <c r="E484" s="211" t="n">
        <v>212</v>
      </c>
      <c r="F484" s="211" t="n">
        <v>39</v>
      </c>
      <c r="G484" s="211" t="n">
        <v>3366</v>
      </c>
      <c r="H484" s="211" t="n">
        <v>613</v>
      </c>
      <c r="I484" s="211" t="n">
        <v>2753</v>
      </c>
      <c r="J484" s="212" t="n">
        <v>158.79</v>
      </c>
      <c r="K484" s="212" t="n">
        <v>157.28</v>
      </c>
      <c r="L484" s="254">
        <f>F484*(K484-J484)</f>
        <v/>
      </c>
    </row>
    <row r="485" ht="16.5" customHeight="1">
      <c r="A485" s="215" t="inlineStr">
        <is>
          <t>高手</t>
        </is>
      </c>
      <c r="B485" s="215" t="inlineStr">
        <is>
          <t>分點</t>
        </is>
      </c>
      <c r="C485" s="215" t="inlineStr">
        <is>
          <t>代號</t>
        </is>
      </c>
      <c r="D485" s="215" t="inlineStr">
        <is>
          <t>標的</t>
        </is>
      </c>
      <c r="E485" s="215" t="inlineStr">
        <is>
          <t>買進(張)</t>
        </is>
      </c>
      <c r="F485" s="215" t="inlineStr">
        <is>
          <t>賣出(張)</t>
        </is>
      </c>
      <c r="G485" s="215" t="inlineStr">
        <is>
          <t>買進(萬元)</t>
        </is>
      </c>
      <c r="H485" s="215" t="inlineStr">
        <is>
          <t>賣出(萬元)</t>
        </is>
      </c>
      <c r="I485" s="215" t="inlineStr">
        <is>
          <t>淨買差(萬元)</t>
        </is>
      </c>
      <c r="J485" s="215" t="inlineStr">
        <is>
          <t>買均</t>
        </is>
      </c>
      <c r="K485" s="215" t="inlineStr">
        <is>
          <t>賣均</t>
        </is>
      </c>
      <c r="L485" s="215" t="inlineStr">
        <is>
          <t>損益(萬)</t>
        </is>
      </c>
    </row>
    <row r="486" ht="16.5" customHeight="1">
      <c r="A486" s="216" t="inlineStr">
        <is>
          <t>全村希望資本_村長</t>
        </is>
      </c>
      <c r="B486" s="217" t="inlineStr">
        <is>
          <t>新光-高雄</t>
        </is>
      </c>
      <c r="C486" s="217" t="inlineStr">
        <is>
          <t>8562</t>
        </is>
      </c>
      <c r="D486" s="218" t="inlineStr">
        <is>
          <t>華新科(2492)</t>
        </is>
      </c>
      <c r="E486" s="219" t="n">
        <v>234</v>
      </c>
      <c r="F486" s="219" t="n">
        <v>139</v>
      </c>
      <c r="G486" s="219" t="n">
        <v>8851</v>
      </c>
      <c r="H486" s="219" t="n">
        <v>5270</v>
      </c>
      <c r="I486" s="219" t="n">
        <v>3581</v>
      </c>
      <c r="J486" s="220" t="n">
        <v>378.25</v>
      </c>
      <c r="K486" s="220" t="n">
        <v>379.12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聯電(2303)</t>
        </is>
      </c>
      <c r="E487" s="219" t="n">
        <v>505</v>
      </c>
      <c r="F487" s="219" t="n">
        <v>152</v>
      </c>
      <c r="G487" s="219" t="n">
        <v>7861</v>
      </c>
      <c r="H487" s="219" t="n">
        <v>2372</v>
      </c>
      <c r="I487" s="219" t="n">
        <v>5489</v>
      </c>
      <c r="J487" s="220" t="n">
        <v>155.66</v>
      </c>
      <c r="K487" s="220" t="n">
        <v>156.08</v>
      </c>
      <c r="L487" s="253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友達(2409)</t>
        </is>
      </c>
      <c r="E488" s="219" t="n">
        <v>1898</v>
      </c>
      <c r="F488" s="219" t="n">
        <v>1412</v>
      </c>
      <c r="G488" s="219" t="n">
        <v>7794</v>
      </c>
      <c r="H488" s="219" t="n">
        <v>5817</v>
      </c>
      <c r="I488" s="219" t="n">
        <v>1977</v>
      </c>
      <c r="J488" s="220" t="n">
        <v>41.06</v>
      </c>
      <c r="K488" s="220" t="n">
        <v>41.2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國巨*(2327)</t>
        </is>
      </c>
      <c r="E489" s="219" t="n">
        <v>104</v>
      </c>
      <c r="F489" s="219" t="n">
        <v>96</v>
      </c>
      <c r="G489" s="219" t="n">
        <v>6540</v>
      </c>
      <c r="H489" s="219" t="n">
        <v>6013</v>
      </c>
      <c r="I489" s="219" t="n">
        <v>527</v>
      </c>
      <c r="J489" s="220" t="n">
        <v>628.88</v>
      </c>
      <c r="K489" s="220" t="n">
        <v>626.3200000000001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穩懋(3105)</t>
        </is>
      </c>
      <c r="E490" s="219" t="n">
        <v>79</v>
      </c>
      <c r="F490" s="219" t="n">
        <v>67</v>
      </c>
      <c r="G490" s="219" t="n">
        <v>4828</v>
      </c>
      <c r="H490" s="219" t="n">
        <v>4108</v>
      </c>
      <c r="I490" s="219" t="n">
        <v>720</v>
      </c>
      <c r="J490" s="220" t="n">
        <v>611.11</v>
      </c>
      <c r="K490" s="220" t="n">
        <v>613.0599999999999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京元電子(2449)</t>
        </is>
      </c>
      <c r="E491" s="219" t="n">
        <v>150</v>
      </c>
      <c r="F491" s="219" t="n">
        <v>18</v>
      </c>
      <c r="G491" s="219" t="n">
        <v>4431</v>
      </c>
      <c r="H491" s="219" t="n">
        <v>526</v>
      </c>
      <c r="I491" s="219" t="n">
        <v>3905</v>
      </c>
      <c r="J491" s="220" t="n">
        <v>295.37</v>
      </c>
      <c r="K491" s="220" t="n">
        <v>292.11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臻鼎-KY(4958)</t>
        </is>
      </c>
      <c r="E492" s="219" t="n">
        <v>75</v>
      </c>
      <c r="F492" s="219" t="n">
        <v>61</v>
      </c>
      <c r="G492" s="219" t="n">
        <v>4318</v>
      </c>
      <c r="H492" s="219" t="n">
        <v>3496</v>
      </c>
      <c r="I492" s="219" t="n">
        <v>822</v>
      </c>
      <c r="J492" s="220" t="n">
        <v>575.75</v>
      </c>
      <c r="K492" s="220" t="n">
        <v>573.03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環球晶(6488)</t>
        </is>
      </c>
      <c r="E493" s="219" t="n">
        <v>35</v>
      </c>
      <c r="F493" s="219" t="n">
        <v>28</v>
      </c>
      <c r="G493" s="219" t="n">
        <v>4086</v>
      </c>
      <c r="H493" s="219" t="n">
        <v>3266</v>
      </c>
      <c r="I493" s="219" t="n">
        <v>820</v>
      </c>
      <c r="J493" s="220" t="n">
        <v>1167.51</v>
      </c>
      <c r="K493" s="220" t="n">
        <v>1166.54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合晶(6182)</t>
        </is>
      </c>
      <c r="E494" s="219" t="n">
        <v>222</v>
      </c>
      <c r="F494" s="219" t="n">
        <v>82</v>
      </c>
      <c r="G494" s="219" t="n">
        <v>2993</v>
      </c>
      <c r="H494" s="219" t="n">
        <v>1096</v>
      </c>
      <c r="I494" s="219" t="n">
        <v>1897</v>
      </c>
      <c r="J494" s="220" t="n">
        <v>134.81</v>
      </c>
      <c r="K494" s="220" t="n">
        <v>133.6</v>
      </c>
      <c r="L494" s="254">
        <f>F494*(K494-J494)</f>
        <v/>
      </c>
    </row>
    <row r="495" ht="16.5" customHeight="1">
      <c r="A495" s="221" t="n"/>
      <c r="B495" s="221" t="n"/>
      <c r="C495" s="221" t="n"/>
      <c r="D495" s="218" t="inlineStr">
        <is>
          <t>台泥(1101)</t>
        </is>
      </c>
      <c r="E495" s="219" t="n">
        <v>860</v>
      </c>
      <c r="F495" s="219" t="n">
        <v>113</v>
      </c>
      <c r="G495" s="219" t="n">
        <v>2162</v>
      </c>
      <c r="H495" s="219" t="n">
        <v>285</v>
      </c>
      <c r="I495" s="219" t="n">
        <v>1877</v>
      </c>
      <c r="J495" s="220" t="n">
        <v>25.14</v>
      </c>
      <c r="K495" s="220" t="n">
        <v>25.21</v>
      </c>
      <c r="L495" s="253">
        <f>F495*(K495-J495)</f>
        <v/>
      </c>
    </row>
    <row r="496" ht="16.5" customHeight="1">
      <c r="A496" s="222" t="n"/>
      <c r="B496" s="215" t="inlineStr">
        <is>
          <t>分點</t>
        </is>
      </c>
      <c r="C496" s="215" t="inlineStr">
        <is>
          <t>代號</t>
        </is>
      </c>
      <c r="D496" s="215" t="inlineStr">
        <is>
          <t>標的</t>
        </is>
      </c>
      <c r="E496" s="215" t="inlineStr">
        <is>
          <t>買進(張)</t>
        </is>
      </c>
      <c r="F496" s="215" t="inlineStr">
        <is>
          <t>賣出(張)</t>
        </is>
      </c>
      <c r="G496" s="215" t="inlineStr">
        <is>
          <t>買進(萬元)</t>
        </is>
      </c>
      <c r="H496" s="215" t="inlineStr">
        <is>
          <t>賣出(萬元)</t>
        </is>
      </c>
      <c r="I496" s="215" t="inlineStr">
        <is>
          <t>淨買差(萬元)</t>
        </is>
      </c>
      <c r="J496" s="215" t="inlineStr">
        <is>
          <t>買均</t>
        </is>
      </c>
      <c r="K496" s="215" t="inlineStr">
        <is>
          <t>賣均</t>
        </is>
      </c>
      <c r="L496" s="215" t="inlineStr">
        <is>
          <t>損益(萬)</t>
        </is>
      </c>
    </row>
    <row r="497" ht="16.5" customHeight="1">
      <c r="A497" s="221" t="n"/>
      <c r="B497" s="217" t="inlineStr">
        <is>
          <t>玉山-台南</t>
        </is>
      </c>
      <c r="C497" s="217" t="inlineStr">
        <is>
          <t>8847</t>
        </is>
      </c>
      <c r="D497" s="218" t="inlineStr">
        <is>
          <t>聯電(2303)</t>
        </is>
      </c>
      <c r="E497" s="219" t="n">
        <v>1060</v>
      </c>
      <c r="F497" s="219" t="n">
        <v>614</v>
      </c>
      <c r="G497" s="219" t="n">
        <v>16540</v>
      </c>
      <c r="H497" s="219" t="n">
        <v>9591</v>
      </c>
      <c r="I497" s="219" t="n">
        <v>6949</v>
      </c>
      <c r="J497" s="220" t="n">
        <v>156.04</v>
      </c>
      <c r="K497" s="220" t="n">
        <v>156.2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國巨*(2327)</t>
        </is>
      </c>
      <c r="E498" s="219" t="n">
        <v>124</v>
      </c>
      <c r="F498" s="219" t="n">
        <v>88</v>
      </c>
      <c r="G498" s="219" t="n">
        <v>7937</v>
      </c>
      <c r="H498" s="219" t="n">
        <v>5617</v>
      </c>
      <c r="I498" s="219" t="n">
        <v>2320</v>
      </c>
      <c r="J498" s="220" t="n">
        <v>640.1</v>
      </c>
      <c r="K498" s="220" t="n">
        <v>638.3200000000001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友達(2409)</t>
        </is>
      </c>
      <c r="E499" s="219" t="n">
        <v>1745</v>
      </c>
      <c r="F499" s="219" t="n">
        <v>1341</v>
      </c>
      <c r="G499" s="219" t="n">
        <v>7099</v>
      </c>
      <c r="H499" s="219" t="n">
        <v>5397</v>
      </c>
      <c r="I499" s="219" t="n">
        <v>1702</v>
      </c>
      <c r="J499" s="220" t="n">
        <v>40.68</v>
      </c>
      <c r="K499" s="220" t="n">
        <v>40.25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華新科(2492)</t>
        </is>
      </c>
      <c r="E500" s="219" t="n">
        <v>113</v>
      </c>
      <c r="F500" s="219" t="n">
        <v>74</v>
      </c>
      <c r="G500" s="219" t="n">
        <v>4278</v>
      </c>
      <c r="H500" s="219" t="n">
        <v>2828</v>
      </c>
      <c r="I500" s="219" t="n">
        <v>1450</v>
      </c>
      <c r="J500" s="220" t="n">
        <v>378.55</v>
      </c>
      <c r="K500" s="220" t="n">
        <v>382.12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力成(6239)</t>
        </is>
      </c>
      <c r="E501" s="219" t="n">
        <v>117</v>
      </c>
      <c r="F501" s="219" t="n">
        <v>48</v>
      </c>
      <c r="G501" s="219" t="n">
        <v>3511</v>
      </c>
      <c r="H501" s="219" t="n">
        <v>1442</v>
      </c>
      <c r="I501" s="219" t="n">
        <v>2069</v>
      </c>
      <c r="J501" s="220" t="n">
        <v>300.05</v>
      </c>
      <c r="K501" s="220" t="n">
        <v>300.48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聯發科(2454)</t>
        </is>
      </c>
      <c r="E502" s="219" t="n">
        <v>5</v>
      </c>
      <c r="F502" s="219" t="n">
        <v>4</v>
      </c>
      <c r="G502" s="219" t="n">
        <v>2769</v>
      </c>
      <c r="H502" s="219" t="n">
        <v>2080</v>
      </c>
      <c r="I502" s="219" t="n">
        <v>689</v>
      </c>
      <c r="J502" s="220" t="n">
        <v>5538</v>
      </c>
      <c r="K502" s="220" t="n">
        <v>5199.5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新唐(4919)</t>
        </is>
      </c>
      <c r="E503" s="219" t="n">
        <v>151</v>
      </c>
      <c r="F503" s="219" t="n">
        <v>13</v>
      </c>
      <c r="G503" s="219" t="n">
        <v>2421</v>
      </c>
      <c r="H503" s="219" t="n">
        <v>207</v>
      </c>
      <c r="I503" s="219" t="n">
        <v>2214</v>
      </c>
      <c r="J503" s="220" t="n">
        <v>160.34</v>
      </c>
      <c r="K503" s="220" t="n">
        <v>159.46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欣興(3037)</t>
        </is>
      </c>
      <c r="E504" s="219" t="n">
        <v>18</v>
      </c>
      <c r="F504" s="219" t="n">
        <v>15</v>
      </c>
      <c r="G504" s="219" t="n">
        <v>2381</v>
      </c>
      <c r="H504" s="219" t="n">
        <v>1980</v>
      </c>
      <c r="I504" s="219" t="n">
        <v>401</v>
      </c>
      <c r="J504" s="220" t="n">
        <v>1322.83</v>
      </c>
      <c r="K504" s="220" t="n">
        <v>1320.2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力積電(6770)</t>
        </is>
      </c>
      <c r="E505" s="219" t="n">
        <v>299</v>
      </c>
      <c r="F505" s="219" t="n">
        <v>178</v>
      </c>
      <c r="G505" s="219" t="n">
        <v>2289</v>
      </c>
      <c r="H505" s="219" t="n">
        <v>1353</v>
      </c>
      <c r="I505" s="219" t="n">
        <v>936</v>
      </c>
      <c r="J505" s="220" t="n">
        <v>76.56</v>
      </c>
      <c r="K505" s="220" t="n">
        <v>76.02</v>
      </c>
      <c r="L505" s="254">
        <f>F505*(K505-J505)</f>
        <v/>
      </c>
    </row>
    <row r="506" ht="16.5" customHeight="1">
      <c r="A506" s="221" t="n"/>
      <c r="B506" s="221" t="n"/>
      <c r="C506" s="221" t="n"/>
      <c r="D506" s="218" t="inlineStr">
        <is>
          <t>鴻勁(7769)</t>
        </is>
      </c>
      <c r="E506" s="219" t="n">
        <v>3</v>
      </c>
      <c r="F506" s="219" t="n">
        <v>1</v>
      </c>
      <c r="G506" s="219" t="n">
        <v>1841</v>
      </c>
      <c r="H506" s="219" t="n">
        <v>608</v>
      </c>
      <c r="I506" s="219" t="n">
        <v>1233</v>
      </c>
      <c r="J506" s="220" t="n">
        <v>6135.33</v>
      </c>
      <c r="K506" s="220" t="n">
        <v>6080</v>
      </c>
      <c r="L506" s="254">
        <f>F506*(K506-J506)</f>
        <v/>
      </c>
    </row>
    <row r="507" ht="16.5" customHeight="1">
      <c r="A507" s="222" t="n"/>
      <c r="B507" s="215" t="inlineStr">
        <is>
          <t>分點</t>
        </is>
      </c>
      <c r="C507" s="215" t="inlineStr">
        <is>
          <t>代號</t>
        </is>
      </c>
      <c r="D507" s="215" t="inlineStr">
        <is>
          <t>標的</t>
        </is>
      </c>
      <c r="E507" s="215" t="inlineStr">
        <is>
          <t>買進(張)</t>
        </is>
      </c>
      <c r="F507" s="215" t="inlineStr">
        <is>
          <t>賣出(張)</t>
        </is>
      </c>
      <c r="G507" s="215" t="inlineStr">
        <is>
          <t>買進(萬元)</t>
        </is>
      </c>
      <c r="H507" s="215" t="inlineStr">
        <is>
          <t>賣出(萬元)</t>
        </is>
      </c>
      <c r="I507" s="215" t="inlineStr">
        <is>
          <t>淨買差(萬元)</t>
        </is>
      </c>
      <c r="J507" s="215" t="inlineStr">
        <is>
          <t>買均</t>
        </is>
      </c>
      <c r="K507" s="215" t="inlineStr">
        <is>
          <t>賣均</t>
        </is>
      </c>
      <c r="L507" s="215" t="inlineStr">
        <is>
          <t>損益(萬)</t>
        </is>
      </c>
    </row>
    <row r="508" ht="16.5" customHeight="1">
      <c r="A508" s="221" t="n"/>
      <c r="B508" s="217" t="inlineStr">
        <is>
          <t>凱基-鳳山</t>
        </is>
      </c>
      <c r="C508" s="217" t="inlineStr">
        <is>
          <t>9274</t>
        </is>
      </c>
      <c r="D508" s="218" t="inlineStr">
        <is>
          <t>創意(3443)</t>
        </is>
      </c>
      <c r="E508" s="219" t="n">
        <v>11</v>
      </c>
      <c r="F508" s="219" t="n">
        <v>5</v>
      </c>
      <c r="G508" s="219" t="n">
        <v>9449</v>
      </c>
      <c r="H508" s="219" t="n">
        <v>4292</v>
      </c>
      <c r="I508" s="219" t="n">
        <v>5157</v>
      </c>
      <c r="J508" s="220" t="n">
        <v>8590.360000000001</v>
      </c>
      <c r="K508" s="220" t="n">
        <v>8583.200000000001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聯電(2303)</t>
        </is>
      </c>
      <c r="E509" s="219" t="n">
        <v>280</v>
      </c>
      <c r="F509" s="219" t="n">
        <v>130</v>
      </c>
      <c r="G509" s="219" t="n">
        <v>4368</v>
      </c>
      <c r="H509" s="219" t="n">
        <v>2015</v>
      </c>
      <c r="I509" s="219" t="n">
        <v>2353</v>
      </c>
      <c r="J509" s="220" t="n">
        <v>156</v>
      </c>
      <c r="K509" s="220" t="n">
        <v>154.99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國巨*(2327)</t>
        </is>
      </c>
      <c r="E510" s="219" t="n">
        <v>57</v>
      </c>
      <c r="F510" s="219" t="n">
        <v>16</v>
      </c>
      <c r="G510" s="219" t="n">
        <v>3648</v>
      </c>
      <c r="H510" s="219" t="n">
        <v>1018</v>
      </c>
      <c r="I510" s="219" t="n">
        <v>2630</v>
      </c>
      <c r="J510" s="220" t="n">
        <v>640.09</v>
      </c>
      <c r="K510" s="220" t="n">
        <v>636.3099999999999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友達(2409)</t>
        </is>
      </c>
      <c r="E511" s="219" t="n">
        <v>765</v>
      </c>
      <c r="F511" s="219" t="n">
        <v>442</v>
      </c>
      <c r="G511" s="219" t="n">
        <v>3080</v>
      </c>
      <c r="H511" s="219" t="n">
        <v>1829</v>
      </c>
      <c r="I511" s="219" t="n">
        <v>1251</v>
      </c>
      <c r="J511" s="220" t="n">
        <v>40.27</v>
      </c>
      <c r="K511" s="220" t="n">
        <v>41.39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富喬(1815)</t>
        </is>
      </c>
      <c r="E512" s="219" t="n">
        <v>162</v>
      </c>
      <c r="F512" s="219" t="n">
        <v>53</v>
      </c>
      <c r="G512" s="219" t="n">
        <v>2064</v>
      </c>
      <c r="H512" s="219" t="n">
        <v>672</v>
      </c>
      <c r="I512" s="219" t="n">
        <v>1392</v>
      </c>
      <c r="J512" s="220" t="n">
        <v>127.43</v>
      </c>
      <c r="K512" s="220" t="n">
        <v>126.87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華新科(2492)</t>
        </is>
      </c>
      <c r="E513" s="219" t="n">
        <v>54</v>
      </c>
      <c r="F513" s="219" t="n">
        <v>46</v>
      </c>
      <c r="G513" s="219" t="n">
        <v>2007</v>
      </c>
      <c r="H513" s="219" t="n">
        <v>1681</v>
      </c>
      <c r="I513" s="219" t="n">
        <v>326</v>
      </c>
      <c r="J513" s="220" t="n">
        <v>371.61</v>
      </c>
      <c r="K513" s="220" t="n">
        <v>365.48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力成(6239)</t>
        </is>
      </c>
      <c r="E514" s="219" t="n">
        <v>66</v>
      </c>
      <c r="F514" s="219" t="n">
        <v>7</v>
      </c>
      <c r="G514" s="219" t="n">
        <v>1990</v>
      </c>
      <c r="H514" s="219" t="n">
        <v>211</v>
      </c>
      <c r="I514" s="219" t="n">
        <v>1779</v>
      </c>
      <c r="J514" s="220" t="n">
        <v>301.59</v>
      </c>
      <c r="K514" s="220" t="n">
        <v>301.86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臻鼎-KY(4958)</t>
        </is>
      </c>
      <c r="E515" s="219" t="n">
        <v>34</v>
      </c>
      <c r="F515" s="219" t="n">
        <v>23</v>
      </c>
      <c r="G515" s="219" t="n">
        <v>1944</v>
      </c>
      <c r="H515" s="219" t="n">
        <v>1349</v>
      </c>
      <c r="I515" s="219" t="n">
        <v>595</v>
      </c>
      <c r="J515" s="220" t="n">
        <v>571.91</v>
      </c>
      <c r="K515" s="220" t="n">
        <v>586.39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尖點(8021)</t>
        </is>
      </c>
      <c r="E516" s="219" t="n">
        <v>28</v>
      </c>
      <c r="F516" s="219" t="n">
        <v>2</v>
      </c>
      <c r="G516" s="219" t="n">
        <v>1567</v>
      </c>
      <c r="H516" s="219" t="n">
        <v>137</v>
      </c>
      <c r="I516" s="219" t="n">
        <v>1430</v>
      </c>
      <c r="J516" s="220" t="n">
        <v>559.61</v>
      </c>
      <c r="K516" s="220" t="n">
        <v>683.5</v>
      </c>
      <c r="L516" s="253">
        <f>F516*(K516-J516)</f>
        <v/>
      </c>
    </row>
    <row r="517" ht="16.5" customHeight="1">
      <c r="A517" s="221" t="n"/>
      <c r="B517" s="221" t="n"/>
      <c r="C517" s="221" t="n"/>
      <c r="D517" s="218" t="inlineStr">
        <is>
          <t>智邦(2345)</t>
        </is>
      </c>
      <c r="E517" s="219" t="n">
        <v>6</v>
      </c>
      <c r="F517" s="219" t="n">
        <v>4</v>
      </c>
      <c r="G517" s="219" t="n">
        <v>1301</v>
      </c>
      <c r="H517" s="219" t="n">
        <v>898</v>
      </c>
      <c r="I517" s="219" t="n">
        <v>403</v>
      </c>
      <c r="J517" s="220" t="n">
        <v>2168.83</v>
      </c>
      <c r="K517" s="220" t="n">
        <v>2246.25</v>
      </c>
      <c r="L517" s="253">
        <f>F517*(K517-J517)</f>
        <v/>
      </c>
    </row>
    <row r="518" ht="16.5" customHeight="1">
      <c r="A518" s="222" t="n"/>
      <c r="B518" s="215" t="inlineStr">
        <is>
          <t>分點</t>
        </is>
      </c>
      <c r="C518" s="215" t="inlineStr">
        <is>
          <t>代號</t>
        </is>
      </c>
      <c r="D518" s="215" t="inlineStr">
        <is>
          <t>標的</t>
        </is>
      </c>
      <c r="E518" s="215" t="inlineStr">
        <is>
          <t>買進(張)</t>
        </is>
      </c>
      <c r="F518" s="215" t="inlineStr">
        <is>
          <t>賣出(張)</t>
        </is>
      </c>
      <c r="G518" s="215" t="inlineStr">
        <is>
          <t>買進(萬元)</t>
        </is>
      </c>
      <c r="H518" s="215" t="inlineStr">
        <is>
          <t>賣出(萬元)</t>
        </is>
      </c>
      <c r="I518" s="215" t="inlineStr">
        <is>
          <t>淨買差(萬元)</t>
        </is>
      </c>
      <c r="J518" s="215" t="inlineStr">
        <is>
          <t>買均</t>
        </is>
      </c>
      <c r="K518" s="215" t="inlineStr">
        <is>
          <t>賣均</t>
        </is>
      </c>
      <c r="L518" s="215" t="inlineStr">
        <is>
          <t>損益(萬)</t>
        </is>
      </c>
    </row>
    <row r="519" ht="16.5" customHeight="1">
      <c r="A519" s="221" t="n"/>
      <c r="B519" s="217" t="inlineStr">
        <is>
          <t>新光-台南</t>
        </is>
      </c>
      <c r="C519" s="217" t="inlineStr">
        <is>
          <t>8564</t>
        </is>
      </c>
      <c r="D519" s="218" t="inlineStr">
        <is>
          <t>臻鼎-KY(4958)</t>
        </is>
      </c>
      <c r="E519" s="219" t="n">
        <v>140</v>
      </c>
      <c r="F519" s="219" t="n">
        <v>126</v>
      </c>
      <c r="G519" s="219" t="n">
        <v>8065</v>
      </c>
      <c r="H519" s="219" t="n">
        <v>7263</v>
      </c>
      <c r="I519" s="219" t="n">
        <v>802</v>
      </c>
      <c r="J519" s="220" t="n">
        <v>576.1</v>
      </c>
      <c r="K519" s="220" t="n">
        <v>576.46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華新科(2492)</t>
        </is>
      </c>
      <c r="E520" s="219" t="n">
        <v>190</v>
      </c>
      <c r="F520" s="219" t="n">
        <v>107</v>
      </c>
      <c r="G520" s="219" t="n">
        <v>7217</v>
      </c>
      <c r="H520" s="219" t="n">
        <v>4068</v>
      </c>
      <c r="I520" s="219" t="n">
        <v>3149</v>
      </c>
      <c r="J520" s="220" t="n">
        <v>379.83</v>
      </c>
      <c r="K520" s="220" t="n">
        <v>380.21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聯電(2303)</t>
        </is>
      </c>
      <c r="E521" s="219" t="n">
        <v>397</v>
      </c>
      <c r="F521" s="219" t="n">
        <v>112</v>
      </c>
      <c r="G521" s="219" t="n">
        <v>6195</v>
      </c>
      <c r="H521" s="219" t="n">
        <v>1739</v>
      </c>
      <c r="I521" s="219" t="n">
        <v>4456</v>
      </c>
      <c r="J521" s="220" t="n">
        <v>156.06</v>
      </c>
      <c r="K521" s="220" t="n">
        <v>155.27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聯亞(3081)</t>
        </is>
      </c>
      <c r="E522" s="219" t="n">
        <v>14</v>
      </c>
      <c r="F522" s="219" t="n">
        <v>8</v>
      </c>
      <c r="G522" s="219" t="n">
        <v>4244</v>
      </c>
      <c r="H522" s="219" t="n">
        <v>2446</v>
      </c>
      <c r="I522" s="219" t="n">
        <v>1798</v>
      </c>
      <c r="J522" s="220" t="n">
        <v>3031.71</v>
      </c>
      <c r="K522" s="220" t="n">
        <v>3057.88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台虹(8039)</t>
        </is>
      </c>
      <c r="E523" s="219" t="n">
        <v>118</v>
      </c>
      <c r="F523" s="219" t="n">
        <v>106</v>
      </c>
      <c r="G523" s="219" t="n">
        <v>3573</v>
      </c>
      <c r="H523" s="219" t="n">
        <v>3232</v>
      </c>
      <c r="I523" s="219" t="n">
        <v>341</v>
      </c>
      <c r="J523" s="220" t="n">
        <v>302.81</v>
      </c>
      <c r="K523" s="220" t="n">
        <v>304.88</v>
      </c>
      <c r="L523" s="253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合晶(6182)</t>
        </is>
      </c>
      <c r="E524" s="219" t="n">
        <v>192</v>
      </c>
      <c r="F524" s="219" t="n">
        <v>139</v>
      </c>
      <c r="G524" s="219" t="n">
        <v>2605</v>
      </c>
      <c r="H524" s="219" t="n">
        <v>1846</v>
      </c>
      <c r="I524" s="219" t="n">
        <v>759</v>
      </c>
      <c r="J524" s="220" t="n">
        <v>135.69</v>
      </c>
      <c r="K524" s="220" t="n">
        <v>132.79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群創(3481)</t>
        </is>
      </c>
      <c r="E525" s="219" t="n">
        <v>449</v>
      </c>
      <c r="F525" s="219" t="n">
        <v>403</v>
      </c>
      <c r="G525" s="219" t="n">
        <v>2424</v>
      </c>
      <c r="H525" s="219" t="n">
        <v>2195</v>
      </c>
      <c r="I525" s="219" t="n">
        <v>229</v>
      </c>
      <c r="J525" s="220" t="n">
        <v>53.98</v>
      </c>
      <c r="K525" s="220" t="n">
        <v>54.48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南茂(8150)</t>
        </is>
      </c>
      <c r="E526" s="219" t="n">
        <v>160</v>
      </c>
      <c r="F526" s="219" t="n">
        <v>119</v>
      </c>
      <c r="G526" s="219" t="n">
        <v>2042</v>
      </c>
      <c r="H526" s="219" t="n">
        <v>1490</v>
      </c>
      <c r="I526" s="219" t="n">
        <v>552</v>
      </c>
      <c r="J526" s="220" t="n">
        <v>127.62</v>
      </c>
      <c r="K526" s="220" t="n">
        <v>125.2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禾伸堂(3026)</t>
        </is>
      </c>
      <c r="E527" s="219" t="n">
        <v>23</v>
      </c>
      <c r="F527" s="219" t="n">
        <v>15</v>
      </c>
      <c r="G527" s="219" t="n">
        <v>1848</v>
      </c>
      <c r="H527" s="219" t="n">
        <v>1262</v>
      </c>
      <c r="I527" s="219" t="n">
        <v>586</v>
      </c>
      <c r="J527" s="220" t="n">
        <v>803.48</v>
      </c>
      <c r="K527" s="220" t="n">
        <v>841.13</v>
      </c>
      <c r="L527" s="253">
        <f>F527*(K527-J527)</f>
        <v/>
      </c>
    </row>
    <row r="528" ht="16.5" customHeight="1">
      <c r="A528" s="221" t="n"/>
      <c r="B528" s="221" t="n"/>
      <c r="C528" s="221" t="n"/>
      <c r="D528" s="218" t="inlineStr">
        <is>
          <t>中美晶(5483)</t>
        </is>
      </c>
      <c r="E528" s="219" t="n">
        <v>80</v>
      </c>
      <c r="F528" s="219" t="n">
        <v>55</v>
      </c>
      <c r="G528" s="219" t="n">
        <v>1762</v>
      </c>
      <c r="H528" s="219" t="n">
        <v>1190</v>
      </c>
      <c r="I528" s="219" t="n">
        <v>572</v>
      </c>
      <c r="J528" s="220" t="n">
        <v>220.31</v>
      </c>
      <c r="K528" s="220" t="n">
        <v>216.42</v>
      </c>
      <c r="L528" s="254">
        <f>F528*(K528-J528)</f>
        <v/>
      </c>
    </row>
    <row r="529" ht="16.5" customHeight="1">
      <c r="A529" s="222" t="n"/>
      <c r="B529" s="215" t="inlineStr">
        <is>
          <t>分點</t>
        </is>
      </c>
      <c r="C529" s="215" t="inlineStr">
        <is>
          <t>代號</t>
        </is>
      </c>
      <c r="D529" s="215" t="inlineStr">
        <is>
          <t>標的</t>
        </is>
      </c>
      <c r="E529" s="215" t="inlineStr">
        <is>
          <t>買進(張)</t>
        </is>
      </c>
      <c r="F529" s="215" t="inlineStr">
        <is>
          <t>賣出(張)</t>
        </is>
      </c>
      <c r="G529" s="215" t="inlineStr">
        <is>
          <t>買進(萬元)</t>
        </is>
      </c>
      <c r="H529" s="215" t="inlineStr">
        <is>
          <t>賣出(萬元)</t>
        </is>
      </c>
      <c r="I529" s="215" t="inlineStr">
        <is>
          <t>淨買差(萬元)</t>
        </is>
      </c>
      <c r="J529" s="215" t="inlineStr">
        <is>
          <t>買均</t>
        </is>
      </c>
      <c r="K529" s="215" t="inlineStr">
        <is>
          <t>賣均</t>
        </is>
      </c>
      <c r="L529" s="215" t="inlineStr">
        <is>
          <t>損益(萬)</t>
        </is>
      </c>
    </row>
    <row r="530" ht="16.5" customHeight="1">
      <c r="A530" s="221" t="n"/>
      <c r="B530" s="217" t="inlineStr">
        <is>
          <t>華南永昌-台南</t>
        </is>
      </c>
      <c r="C530" s="217" t="inlineStr">
        <is>
          <t>9306</t>
        </is>
      </c>
      <c r="D530" s="218" t="inlineStr">
        <is>
          <t>國巨*(2327)</t>
        </is>
      </c>
      <c r="E530" s="219" t="n">
        <v>79</v>
      </c>
      <c r="F530" s="219" t="n">
        <v>62</v>
      </c>
      <c r="G530" s="219" t="n">
        <v>5088</v>
      </c>
      <c r="H530" s="219" t="n">
        <v>3939</v>
      </c>
      <c r="I530" s="219" t="n">
        <v>1149</v>
      </c>
      <c r="J530" s="220" t="n">
        <v>644.1</v>
      </c>
      <c r="K530" s="220" t="n">
        <v>635.27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禾伸堂(3026)</t>
        </is>
      </c>
      <c r="E531" s="219" t="n">
        <v>54</v>
      </c>
      <c r="F531" s="219" t="n">
        <v>50</v>
      </c>
      <c r="G531" s="219" t="n">
        <v>4390</v>
      </c>
      <c r="H531" s="219" t="n">
        <v>4098</v>
      </c>
      <c r="I531" s="219" t="n">
        <v>292</v>
      </c>
      <c r="J531" s="220" t="n">
        <v>813</v>
      </c>
      <c r="K531" s="220" t="n">
        <v>819.5599999999999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聯電(2303)</t>
        </is>
      </c>
      <c r="E532" s="219" t="n">
        <v>173</v>
      </c>
      <c r="F532" s="219" t="n">
        <v>14</v>
      </c>
      <c r="G532" s="219" t="n">
        <v>2694</v>
      </c>
      <c r="H532" s="219" t="n">
        <v>219</v>
      </c>
      <c r="I532" s="219" t="n">
        <v>2475</v>
      </c>
      <c r="J532" s="220" t="n">
        <v>155.73</v>
      </c>
      <c r="K532" s="220" t="n">
        <v>156.21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友達(2409)</t>
        </is>
      </c>
      <c r="E533" s="219" t="n">
        <v>602</v>
      </c>
      <c r="F533" s="219" t="n">
        <v>353</v>
      </c>
      <c r="G533" s="219" t="n">
        <v>2449</v>
      </c>
      <c r="H533" s="219" t="n">
        <v>1440</v>
      </c>
      <c r="I533" s="219" t="n">
        <v>1009</v>
      </c>
      <c r="J533" s="220" t="n">
        <v>40.69</v>
      </c>
      <c r="K533" s="220" t="n">
        <v>40.81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華新科(2492)</t>
        </is>
      </c>
      <c r="E534" s="219" t="n">
        <v>54</v>
      </c>
      <c r="F534" s="219" t="n">
        <v>47</v>
      </c>
      <c r="G534" s="219" t="n">
        <v>1990</v>
      </c>
      <c r="H534" s="219" t="n">
        <v>1722</v>
      </c>
      <c r="I534" s="219" t="n">
        <v>268</v>
      </c>
      <c r="J534" s="220" t="n">
        <v>368.48</v>
      </c>
      <c r="K534" s="220" t="n">
        <v>366.34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景碩(3189)</t>
        </is>
      </c>
      <c r="E535" s="219" t="n">
        <v>12</v>
      </c>
      <c r="F535" s="219" t="n">
        <v>8</v>
      </c>
      <c r="G535" s="219" t="n">
        <v>1360</v>
      </c>
      <c r="H535" s="219" t="n">
        <v>878</v>
      </c>
      <c r="I535" s="219" t="n">
        <v>482</v>
      </c>
      <c r="J535" s="220" t="n">
        <v>1132.92</v>
      </c>
      <c r="K535" s="220" t="n">
        <v>1097.25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尖點(8021)</t>
        </is>
      </c>
      <c r="E536" s="219" t="n">
        <v>22</v>
      </c>
      <c r="F536" s="219" t="n">
        <v>5</v>
      </c>
      <c r="G536" s="219" t="n">
        <v>1215</v>
      </c>
      <c r="H536" s="219" t="n">
        <v>264</v>
      </c>
      <c r="I536" s="219" t="n">
        <v>951</v>
      </c>
      <c r="J536" s="220" t="n">
        <v>552.45</v>
      </c>
      <c r="K536" s="220" t="n">
        <v>528.8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臻鼎-KY(4958)</t>
        </is>
      </c>
      <c r="E537" s="219" t="n">
        <v>16</v>
      </c>
      <c r="F537" s="219" t="n">
        <v>12</v>
      </c>
      <c r="G537" s="219" t="n">
        <v>906</v>
      </c>
      <c r="H537" s="219" t="n">
        <v>673</v>
      </c>
      <c r="I537" s="219" t="n">
        <v>233</v>
      </c>
      <c r="J537" s="220" t="n">
        <v>566.12</v>
      </c>
      <c r="K537" s="220" t="n">
        <v>561.17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中華電(2412)</t>
        </is>
      </c>
      <c r="E538" s="219" t="n">
        <v>55</v>
      </c>
      <c r="F538" s="219" t="n">
        <v>0</v>
      </c>
      <c r="G538" s="219" t="n">
        <v>803</v>
      </c>
      <c r="H538" s="219" t="n">
        <v>0</v>
      </c>
      <c r="I538" s="219" t="n">
        <v>803</v>
      </c>
      <c r="J538" s="220" t="n">
        <v>145.95</v>
      </c>
      <c r="K538" s="220" t="n">
        <v>0</v>
      </c>
      <c r="L538" s="253">
        <f>F538*(K538-J538)</f>
        <v/>
      </c>
    </row>
    <row r="539" ht="16.5" customHeight="1">
      <c r="A539" s="221" t="n"/>
      <c r="B539" s="221" t="n"/>
      <c r="C539" s="221" t="n"/>
      <c r="D539" s="218" t="inlineStr">
        <is>
          <t>穩懋(3105)</t>
        </is>
      </c>
      <c r="E539" s="219" t="n">
        <v>11</v>
      </c>
      <c r="F539" s="219" t="n">
        <v>3</v>
      </c>
      <c r="G539" s="219" t="n">
        <v>684</v>
      </c>
      <c r="H539" s="219" t="n">
        <v>215</v>
      </c>
      <c r="I539" s="219" t="n">
        <v>469</v>
      </c>
      <c r="J539" s="220" t="n">
        <v>622.09</v>
      </c>
      <c r="K539" s="220" t="n">
        <v>715.67</v>
      </c>
      <c r="L539" s="253">
        <f>F539*(K539-J539)</f>
        <v/>
      </c>
    </row>
    <row r="540" ht="16.5" customHeight="1">
      <c r="A540" s="223" t="inlineStr">
        <is>
          <t>ⓘ top-buyer 資料 fetched @ 2026-10-05 23:20 TW | 10/17 success | 來源: 富邦10/histock0</t>
        </is>
      </c>
    </row>
  </sheetData>
  <mergeCells count="112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486:B495"/>
    <mergeCell ref="C519:C528"/>
    <mergeCell ref="B256:B265"/>
    <mergeCell ref="C179:C188"/>
    <mergeCell ref="C58:C67"/>
    <mergeCell ref="B135:B144"/>
    <mergeCell ref="C157:C166"/>
    <mergeCell ref="B190:B199"/>
    <mergeCell ref="A486:A539"/>
    <mergeCell ref="C113:C122"/>
    <mergeCell ref="B475:B484"/>
    <mergeCell ref="C333:C342"/>
    <mergeCell ref="B443:B462"/>
    <mergeCell ref="C25:C34"/>
    <mergeCell ref="C256:C265"/>
    <mergeCell ref="B234:B243"/>
    <mergeCell ref="B519:B528"/>
    <mergeCell ref="C530:C539"/>
    <mergeCell ref="B267:B276"/>
    <mergeCell ref="B245:B254"/>
    <mergeCell ref="B146:B155"/>
    <mergeCell ref="B124:B133"/>
    <mergeCell ref="B388:B397"/>
    <mergeCell ref="C508:C517"/>
    <mergeCell ref="B201:B210"/>
    <mergeCell ref="C366:C375"/>
    <mergeCell ref="A245:A276"/>
    <mergeCell ref="C421:C430"/>
    <mergeCell ref="B47:B56"/>
    <mergeCell ref="C377:C386"/>
    <mergeCell ref="C322:C331"/>
    <mergeCell ref="B508:B517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530:B539"/>
    <mergeCell ref="B14:B23"/>
    <mergeCell ref="C388:C397"/>
    <mergeCell ref="C223:C232"/>
    <mergeCell ref="A540:L540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C497:C506"/>
    <mergeCell ref="B212:B221"/>
    <mergeCell ref="B399:B408"/>
    <mergeCell ref="A443:A462"/>
    <mergeCell ref="C443:C462"/>
    <mergeCell ref="B91:B100"/>
    <mergeCell ref="B25:B34"/>
    <mergeCell ref="C486:C495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B497:B506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2026-10-05T15:20:07Z</dcterms:modified>
</cp:coreProperties>
</file>