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5" sheetId="1" state="visible" r:id="rId1"/>
    <sheet name="20260604" sheetId="2" state="visible" r:id="rId2"/>
    <sheet name="20260603" sheetId="3" state="visible" r:id="rId3"/>
    <sheet name="20260602" sheetId="4" state="visible" r:id="rId4"/>
    <sheet name="20260601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A14" s="7" t="n"/>
      <c r="B14" s="7" t="n"/>
      <c r="C14" s="7" t="n"/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A16" s="7" t="n"/>
      <c r="B16" s="7" t="n"/>
      <c r="C16" s="7" t="n"/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光聖(6442)</t>
        </is>
      </c>
      <c r="E411" s="92" t="n">
        <v>26</v>
      </c>
      <c r="F411" s="92" t="n">
        <v>13</v>
      </c>
      <c r="G411" s="92" t="n">
        <v>5294</v>
      </c>
      <c r="H411" s="92" t="n">
        <v>2768</v>
      </c>
      <c r="I411" s="92" t="n">
        <v>2526</v>
      </c>
      <c r="J411" s="93" t="n">
        <v>2036.27</v>
      </c>
      <c r="K411" s="93" t="n">
        <v>2129.23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上詮(3363)</t>
        </is>
      </c>
      <c r="E412" s="92" t="n">
        <v>47</v>
      </c>
      <c r="F412" s="92" t="n">
        <v>24</v>
      </c>
      <c r="G412" s="92" t="n">
        <v>4271</v>
      </c>
      <c r="H412" s="92" t="n">
        <v>2135</v>
      </c>
      <c r="I412" s="92" t="n">
        <v>2136</v>
      </c>
      <c r="J412" s="93" t="n">
        <v>908.72</v>
      </c>
      <c r="K412" s="93" t="n">
        <v>889.67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台新新光金(2887)</t>
        </is>
      </c>
      <c r="E413" s="92" t="n">
        <v>1179</v>
      </c>
      <c r="F413" s="92" t="n">
        <v>21</v>
      </c>
      <c r="G413" s="92" t="n">
        <v>3310</v>
      </c>
      <c r="H413" s="92" t="n">
        <v>60</v>
      </c>
      <c r="I413" s="92" t="n">
        <v>3250</v>
      </c>
      <c r="J413" s="93" t="n">
        <v>28.08</v>
      </c>
      <c r="K413" s="93" t="n">
        <v>28.38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聖暉*(5536)</t>
        </is>
      </c>
      <c r="E414" s="92" t="n">
        <v>14</v>
      </c>
      <c r="F414" s="92" t="n">
        <v>5</v>
      </c>
      <c r="G414" s="92" t="n">
        <v>1607</v>
      </c>
      <c r="H414" s="92" t="n">
        <v>621</v>
      </c>
      <c r="I414" s="92" t="n">
        <v>986</v>
      </c>
      <c r="J414" s="93" t="n">
        <v>1147.71</v>
      </c>
      <c r="K414" s="93" t="n">
        <v>1241.8</v>
      </c>
      <c r="L414" s="96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可成(2474)</t>
        </is>
      </c>
      <c r="E415" s="92" t="n">
        <v>51</v>
      </c>
      <c r="F415" s="92" t="n">
        <v>4</v>
      </c>
      <c r="G415" s="92" t="n">
        <v>1185</v>
      </c>
      <c r="H415" s="92" t="n">
        <v>93</v>
      </c>
      <c r="I415" s="92" t="n">
        <v>1092</v>
      </c>
      <c r="J415" s="93" t="n">
        <v>232.35</v>
      </c>
      <c r="K415" s="93" t="n">
        <v>231.5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川湖(2059)</t>
        </is>
      </c>
      <c r="E416" s="92" t="n">
        <v>2</v>
      </c>
      <c r="F416" s="92" t="n">
        <v>1</v>
      </c>
      <c r="G416" s="92" t="n">
        <v>1139</v>
      </c>
      <c r="H416" s="92" t="n">
        <v>6</v>
      </c>
      <c r="I416" s="92" t="n">
        <v>1133</v>
      </c>
      <c r="J416" s="93" t="n">
        <v>5695</v>
      </c>
      <c r="K416" s="93" t="n">
        <v>61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長華*(8070)</t>
        </is>
      </c>
      <c r="E417" s="92" t="n">
        <v>179</v>
      </c>
      <c r="F417" s="92" t="n">
        <v>5</v>
      </c>
      <c r="G417" s="92" t="n">
        <v>1121</v>
      </c>
      <c r="H417" s="92" t="n">
        <v>32</v>
      </c>
      <c r="I417" s="92" t="n">
        <v>1089</v>
      </c>
      <c r="J417" s="93" t="n">
        <v>62.61</v>
      </c>
      <c r="K417" s="93" t="n">
        <v>64.2</v>
      </c>
      <c r="L417" s="96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兆利(3548)</t>
        </is>
      </c>
      <c r="E418" s="92" t="n">
        <v>61</v>
      </c>
      <c r="F418" s="92" t="n">
        <v>3</v>
      </c>
      <c r="G418" s="92" t="n">
        <v>637</v>
      </c>
      <c r="H418" s="92" t="n">
        <v>31</v>
      </c>
      <c r="I418" s="92" t="n">
        <v>606</v>
      </c>
      <c r="J418" s="93" t="n">
        <v>104.49</v>
      </c>
      <c r="K418" s="93" t="n">
        <v>104.67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訊芯-KY(6451)</t>
        </is>
      </c>
      <c r="E420" s="92" t="n">
        <v>69</v>
      </c>
      <c r="F420" s="92" t="n">
        <v>16</v>
      </c>
      <c r="G420" s="92" t="n">
        <v>4736</v>
      </c>
      <c r="H420" s="92" t="n">
        <v>1103</v>
      </c>
      <c r="I420" s="92" t="n">
        <v>3633</v>
      </c>
      <c r="J420" s="93" t="n">
        <v>686.38</v>
      </c>
      <c r="K420" s="93" t="n">
        <v>689.62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川湖(2059)</t>
        </is>
      </c>
      <c r="E421" s="92" t="n">
        <v>7</v>
      </c>
      <c r="F421" s="92" t="n">
        <v>1</v>
      </c>
      <c r="G421" s="92" t="n">
        <v>3773</v>
      </c>
      <c r="H421" s="92" t="n">
        <v>73</v>
      </c>
      <c r="I421" s="92" t="n">
        <v>3700</v>
      </c>
      <c r="J421" s="93" t="n">
        <v>5389.57</v>
      </c>
      <c r="K421" s="93" t="n">
        <v>730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上詮(3363)</t>
        </is>
      </c>
      <c r="E422" s="92" t="n">
        <v>28</v>
      </c>
      <c r="F422" s="92" t="n">
        <v>10</v>
      </c>
      <c r="G422" s="92" t="n">
        <v>2580</v>
      </c>
      <c r="H422" s="92" t="n">
        <v>892</v>
      </c>
      <c r="I422" s="92" t="n">
        <v>1688</v>
      </c>
      <c r="J422" s="93" t="n">
        <v>921.3200000000001</v>
      </c>
      <c r="K422" s="93" t="n">
        <v>892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友達(2409)</t>
        </is>
      </c>
      <c r="E424" s="92" t="n">
        <v>364</v>
      </c>
      <c r="F424" s="92" t="n">
        <v>237</v>
      </c>
      <c r="G424" s="92" t="n">
        <v>986</v>
      </c>
      <c r="H424" s="92" t="n">
        <v>642</v>
      </c>
      <c r="I424" s="92" t="n">
        <v>344</v>
      </c>
      <c r="J424" s="93" t="n">
        <v>27.1</v>
      </c>
      <c r="K424" s="93" t="n">
        <v>27.1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創新服務(7828)</t>
        </is>
      </c>
      <c r="E425" s="92" t="n">
        <v>6</v>
      </c>
      <c r="F425" s="92" t="n">
        <v>0</v>
      </c>
      <c r="G425" s="92" t="n">
        <v>962</v>
      </c>
      <c r="H425" s="92" t="n">
        <v>0</v>
      </c>
      <c r="I425" s="92" t="n">
        <v>962</v>
      </c>
      <c r="J425" s="93" t="n">
        <v>1603.83</v>
      </c>
      <c r="K425" s="93" t="n">
        <v>0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港建*(3093)</t>
        </is>
      </c>
      <c r="E426" s="92" t="n">
        <v>150</v>
      </c>
      <c r="F426" s="92" t="n">
        <v>0</v>
      </c>
      <c r="G426" s="92" t="n">
        <v>929</v>
      </c>
      <c r="H426" s="92" t="n">
        <v>0</v>
      </c>
      <c r="I426" s="92" t="n">
        <v>929</v>
      </c>
      <c r="J426" s="93" t="n">
        <v>61.93</v>
      </c>
      <c r="K426" s="93" t="n">
        <v>0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仁寶(2324)</t>
        </is>
      </c>
      <c r="E427" s="92" t="n">
        <v>184</v>
      </c>
      <c r="F427" s="92" t="n">
        <v>68</v>
      </c>
      <c r="G427" s="92" t="n">
        <v>762</v>
      </c>
      <c r="H427" s="92" t="n">
        <v>282</v>
      </c>
      <c r="I427" s="92" t="n">
        <v>480</v>
      </c>
      <c r="J427" s="93" t="n">
        <v>41.4</v>
      </c>
      <c r="K427" s="93" t="n">
        <v>41.4</v>
      </c>
      <c r="L427" s="96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大量(3167)</t>
        </is>
      </c>
      <c r="E428" s="92" t="n">
        <v>7</v>
      </c>
      <c r="F428" s="92" t="n">
        <v>0</v>
      </c>
      <c r="G428" s="92" t="n">
        <v>712</v>
      </c>
      <c r="H428" s="92" t="n">
        <v>0</v>
      </c>
      <c r="I428" s="92" t="n">
        <v>712</v>
      </c>
      <c r="J428" s="93" t="n">
        <v>1017.14</v>
      </c>
      <c r="K428" s="93" t="n">
        <v>0</v>
      </c>
      <c r="L428" s="96">
        <f>F428*(K428-J428)</f>
        <v/>
      </c>
    </row>
    <row r="429" ht="16.5" customHeight="1">
      <c r="A429" s="95" t="n"/>
      <c r="B429" s="95" t="n"/>
      <c r="C429" s="95" t="n"/>
      <c r="D429" s="91" t="inlineStr">
        <is>
          <t>新纖(1409)</t>
        </is>
      </c>
      <c r="E429" s="92" t="n">
        <v>106</v>
      </c>
      <c r="F429" s="92" t="n">
        <v>51</v>
      </c>
      <c r="G429" s="92" t="n">
        <v>277</v>
      </c>
      <c r="H429" s="92" t="n">
        <v>133</v>
      </c>
      <c r="I429" s="92" t="n">
        <v>144</v>
      </c>
      <c r="J429" s="93" t="n">
        <v>26.15</v>
      </c>
      <c r="K429" s="93" t="n">
        <v>26.16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2026-06-05T14:53:15Z</dcterms:modified>
</cp:coreProperties>
</file>