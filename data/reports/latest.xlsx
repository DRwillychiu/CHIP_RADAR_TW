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9" sheetId="1" state="visible" r:id="rId1"/>
    <sheet name="20260518" sheetId="2" state="visible" r:id="rId2"/>
    <sheet name="20260515" sheetId="3" state="visible" r:id="rId3"/>
    <sheet name="20260514" sheetId="4" state="visible" r:id="rId4"/>
    <sheet name="20260513" sheetId="5" state="visible" r:id="rId5"/>
    <sheet name="20260512" sheetId="6" state="visible" r:id="rId6"/>
    <sheet name="20260511" sheetId="7" state="visible" r:id="rId7"/>
    <sheet name="20260508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36</v>
      </c>
      <c r="F13" s="14" t="n">
        <v>54</v>
      </c>
      <c r="G13" s="14" t="n">
        <v>11970</v>
      </c>
      <c r="H13" s="14" t="n">
        <v>18135</v>
      </c>
      <c r="I13" s="14" t="n">
        <v>-6165</v>
      </c>
      <c r="J13" s="15" t="n">
        <v>3324.94</v>
      </c>
      <c r="K13" s="15" t="n">
        <v>3358.35</v>
      </c>
      <c r="L13" s="16">
        <f>F13*(K13-J13)</f>
        <v/>
      </c>
    </row>
    <row r="14" ht="16.5" customHeight="1">
      <c r="D14" s="13" t="inlineStr">
        <is>
          <t>敬鵬(2355)</t>
        </is>
      </c>
      <c r="E14" s="14" t="n">
        <v>1556</v>
      </c>
      <c r="F14" s="14" t="n">
        <v>385</v>
      </c>
      <c r="G14" s="14" t="n">
        <v>9864</v>
      </c>
      <c r="H14" s="14" t="n">
        <v>2436</v>
      </c>
      <c r="I14" s="14" t="n">
        <v>7428</v>
      </c>
      <c r="J14" s="15" t="n">
        <v>63.39</v>
      </c>
      <c r="K14" s="15" t="n">
        <v>63.28</v>
      </c>
      <c r="L14" s="17">
        <f>F14*(K14-J14)</f>
        <v/>
      </c>
    </row>
    <row r="15" ht="16.5" customHeight="1">
      <c r="D15" s="13" t="inlineStr">
        <is>
          <t>南亞科(2408)</t>
        </is>
      </c>
      <c r="E15" s="14" t="n">
        <v>294</v>
      </c>
      <c r="F15" s="14" t="n">
        <v>212</v>
      </c>
      <c r="G15" s="14" t="n">
        <v>8347</v>
      </c>
      <c r="H15" s="14" t="n">
        <v>5899</v>
      </c>
      <c r="I15" s="14" t="n">
        <v>2448</v>
      </c>
      <c r="J15" s="15" t="n">
        <v>283.92</v>
      </c>
      <c r="K15" s="15" t="n">
        <v>278.24</v>
      </c>
      <c r="L15" s="17">
        <f>F15*(K15-J15)</f>
        <v/>
      </c>
    </row>
    <row r="16" ht="16.5" customHeight="1">
      <c r="D16" s="13" t="inlineStr">
        <is>
          <t>台積電(2330)</t>
        </is>
      </c>
      <c r="E16" s="14" t="n">
        <v>28</v>
      </c>
      <c r="F16" s="14" t="n">
        <v>7</v>
      </c>
      <c r="G16" s="14" t="n">
        <v>6163</v>
      </c>
      <c r="H16" s="14" t="n">
        <v>1651</v>
      </c>
      <c r="I16" s="14" t="n">
        <v>4512</v>
      </c>
      <c r="J16" s="15" t="n">
        <v>2200.96</v>
      </c>
      <c r="K16" s="15" t="n">
        <v>2358</v>
      </c>
      <c r="L16" s="16">
        <f>F16*(K16-J16)</f>
        <v/>
      </c>
    </row>
    <row r="17" ht="16.5" customHeight="1">
      <c r="D17" s="13" t="inlineStr">
        <is>
          <t>光頡(3624)</t>
        </is>
      </c>
      <c r="E17" s="14" t="n">
        <v>656</v>
      </c>
      <c r="F17" s="14" t="n">
        <v>334</v>
      </c>
      <c r="G17" s="14" t="n">
        <v>6007</v>
      </c>
      <c r="H17" s="14" t="n">
        <v>2787</v>
      </c>
      <c r="I17" s="14" t="n">
        <v>3220</v>
      </c>
      <c r="J17" s="15" t="n">
        <v>91.56999999999999</v>
      </c>
      <c r="K17" s="15" t="n">
        <v>83.43000000000001</v>
      </c>
      <c r="L17" s="17">
        <f>F17*(K17-J17)</f>
        <v/>
      </c>
    </row>
    <row r="18" ht="16.5" customHeight="1">
      <c r="D18" s="13" t="inlineStr">
        <is>
          <t>華通(2313)</t>
        </is>
      </c>
      <c r="E18" s="14" t="n">
        <v>186</v>
      </c>
      <c r="F18" s="14" t="n">
        <v>146</v>
      </c>
      <c r="G18" s="14" t="n">
        <v>4769</v>
      </c>
      <c r="H18" s="14" t="n">
        <v>3726</v>
      </c>
      <c r="I18" s="14" t="n">
        <v>1043</v>
      </c>
      <c r="J18" s="15" t="n">
        <v>256.41</v>
      </c>
      <c r="K18" s="15" t="n">
        <v>255.24</v>
      </c>
      <c r="L18" s="17">
        <f>F18*(K18-J18)</f>
        <v/>
      </c>
    </row>
    <row r="19" ht="16.5" customHeight="1">
      <c r="D19" s="13" t="inlineStr">
        <is>
          <t>點序(6485)</t>
        </is>
      </c>
      <c r="E19" s="14" t="n">
        <v>338</v>
      </c>
      <c r="F19" s="14" t="n">
        <v>466</v>
      </c>
      <c r="G19" s="14" t="n">
        <v>3995</v>
      </c>
      <c r="H19" s="14" t="n">
        <v>5352</v>
      </c>
      <c r="I19" s="14" t="n">
        <v>-1357</v>
      </c>
      <c r="J19" s="15" t="n">
        <v>118.2</v>
      </c>
      <c r="K19" s="15" t="n">
        <v>114.84</v>
      </c>
      <c r="L19" s="17">
        <f>F19*(K19-J19)</f>
        <v/>
      </c>
    </row>
    <row r="20" ht="16.5" customHeight="1">
      <c r="D20" s="13" t="inlineStr">
        <is>
          <t>友威科(3580)</t>
        </is>
      </c>
      <c r="E20" s="14" t="n">
        <v>301</v>
      </c>
      <c r="F20" s="14" t="n">
        <v>342</v>
      </c>
      <c r="G20" s="14" t="n">
        <v>3341</v>
      </c>
      <c r="H20" s="14" t="n">
        <v>3786</v>
      </c>
      <c r="I20" s="14" t="n">
        <v>-445</v>
      </c>
      <c r="J20" s="15" t="n">
        <v>111</v>
      </c>
      <c r="K20" s="15" t="n">
        <v>110.69</v>
      </c>
      <c r="L20" s="17">
        <f>F20*(K20-J20)</f>
        <v/>
      </c>
    </row>
    <row r="21" ht="16.5" customHeight="1">
      <c r="D21" s="13" t="inlineStr">
        <is>
          <t>群聯(8299)</t>
        </is>
      </c>
      <c r="E21" s="14" t="n">
        <v>13</v>
      </c>
      <c r="F21" s="14" t="n">
        <v>8</v>
      </c>
      <c r="G21" s="14" t="n">
        <v>3168</v>
      </c>
      <c r="H21" s="14" t="n">
        <v>2002</v>
      </c>
      <c r="I21" s="14" t="n">
        <v>1166</v>
      </c>
      <c r="J21" s="15" t="n">
        <v>2437.31</v>
      </c>
      <c r="K21" s="15" t="n">
        <v>2502.25</v>
      </c>
      <c r="L21" s="16">
        <f>F21*(K21-J21)</f>
        <v/>
      </c>
    </row>
    <row r="22" ht="16.5" customHeight="1">
      <c r="D22" s="13" t="inlineStr">
        <is>
          <t>台達電(2308)</t>
        </is>
      </c>
      <c r="E22" s="14" t="n">
        <v>16</v>
      </c>
      <c r="F22" s="14" t="n">
        <v>3</v>
      </c>
      <c r="G22" s="14" t="n">
        <v>3121</v>
      </c>
      <c r="H22" s="14" t="n">
        <v>642</v>
      </c>
      <c r="I22" s="14" t="n">
        <v>2479</v>
      </c>
      <c r="J22" s="15" t="n">
        <v>1950.44</v>
      </c>
      <c r="K22" s="15" t="n">
        <v>2141.33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4</v>
      </c>
      <c r="G26" s="14" t="n">
        <v>839</v>
      </c>
      <c r="H26" s="14" t="n">
        <v>1006</v>
      </c>
      <c r="I26" s="14" t="n">
        <v>-167</v>
      </c>
      <c r="J26" s="15" t="n">
        <v>2797</v>
      </c>
      <c r="K26" s="15" t="n">
        <v>2515</v>
      </c>
      <c r="L26" s="17">
        <f>F26*(K26-J26)</f>
        <v/>
      </c>
    </row>
    <row r="27" ht="16.5" customHeight="1">
      <c r="D27" s="13" t="inlineStr">
        <is>
          <t>日電貿(3090)</t>
        </is>
      </c>
      <c r="E27" s="14" t="n">
        <v>43</v>
      </c>
      <c r="F27" s="14" t="n">
        <v>7</v>
      </c>
      <c r="G27" s="14" t="n">
        <v>697</v>
      </c>
      <c r="H27" s="14" t="n">
        <v>112</v>
      </c>
      <c r="I27" s="14" t="n">
        <v>585</v>
      </c>
      <c r="J27" s="15" t="n">
        <v>162.02</v>
      </c>
      <c r="K27" s="15" t="n">
        <v>160.57</v>
      </c>
      <c r="L27" s="17">
        <f>F27*(K27-J27)</f>
        <v/>
      </c>
    </row>
    <row r="28" ht="16.5" customHeight="1">
      <c r="D28" s="13" t="inlineStr">
        <is>
          <t>華邦電(2344)</t>
        </is>
      </c>
      <c r="E28" s="14" t="n">
        <v>58</v>
      </c>
      <c r="F28" s="14" t="n">
        <v>35</v>
      </c>
      <c r="G28" s="14" t="n">
        <v>693</v>
      </c>
      <c r="H28" s="14" t="n">
        <v>421</v>
      </c>
      <c r="I28" s="14" t="n">
        <v>272</v>
      </c>
      <c r="J28" s="15" t="n">
        <v>119.52</v>
      </c>
      <c r="K28" s="15" t="n">
        <v>120.29</v>
      </c>
      <c r="L28" s="16">
        <f>F28*(K28-J28)</f>
        <v/>
      </c>
    </row>
    <row r="29" ht="16.5" customHeight="1">
      <c r="D29" s="13" t="inlineStr">
        <is>
          <t>力旺(3529)</t>
        </is>
      </c>
      <c r="E29" s="14" t="n">
        <v>2</v>
      </c>
      <c r="F29" s="14" t="n">
        <v>1</v>
      </c>
      <c r="G29" s="14" t="n">
        <v>662</v>
      </c>
      <c r="H29" s="14" t="n">
        <v>336</v>
      </c>
      <c r="I29" s="14" t="n">
        <v>326</v>
      </c>
      <c r="J29" s="15" t="n">
        <v>3307.5</v>
      </c>
      <c r="K29" s="15" t="n">
        <v>3365</v>
      </c>
      <c r="L29" s="16">
        <f>F29*(K29-J29)</f>
        <v/>
      </c>
    </row>
    <row r="30" ht="16.5" customHeight="1">
      <c r="D30" s="13" t="inlineStr">
        <is>
          <t>旺矽(6223)</t>
        </is>
      </c>
      <c r="E30" s="14" t="n">
        <v>1</v>
      </c>
      <c r="F30" s="14" t="n">
        <v>0</v>
      </c>
      <c r="G30" s="14" t="n">
        <v>625</v>
      </c>
      <c r="H30" s="14" t="n">
        <v>0</v>
      </c>
      <c r="I30" s="14" t="n">
        <v>625</v>
      </c>
      <c r="J30" s="15" t="n">
        <v>6248</v>
      </c>
      <c r="K30" s="15" t="n">
        <v>0</v>
      </c>
      <c r="L30" s="16">
        <f>F30*(K30-J30)</f>
        <v/>
      </c>
    </row>
    <row r="31" ht="16.5" customHeight="1">
      <c r="D31" s="13" t="inlineStr">
        <is>
          <t>南亞科(2408)</t>
        </is>
      </c>
      <c r="E31" s="14" t="n">
        <v>21</v>
      </c>
      <c r="F31" s="14" t="n">
        <v>12</v>
      </c>
      <c r="G31" s="14" t="n">
        <v>586</v>
      </c>
      <c r="H31" s="14" t="n">
        <v>331</v>
      </c>
      <c r="I31" s="14" t="n">
        <v>255</v>
      </c>
      <c r="J31" s="15" t="n">
        <v>279.24</v>
      </c>
      <c r="K31" s="15" t="n">
        <v>276</v>
      </c>
      <c r="L31" s="17">
        <f>F31*(K31-J31)</f>
        <v/>
      </c>
    </row>
    <row r="32" ht="16.5" customHeight="1">
      <c r="D32" s="13" t="inlineStr">
        <is>
          <t>昇陽半導體(8028)</t>
        </is>
      </c>
      <c r="E32" s="14" t="n">
        <v>17</v>
      </c>
      <c r="F32" s="14" t="n">
        <v>3</v>
      </c>
      <c r="G32" s="14" t="n">
        <v>452</v>
      </c>
      <c r="H32" s="14" t="n">
        <v>79</v>
      </c>
      <c r="I32" s="14" t="n">
        <v>373</v>
      </c>
      <c r="J32" s="15" t="n">
        <v>265.71</v>
      </c>
      <c r="K32" s="15" t="n">
        <v>263.67</v>
      </c>
      <c r="L32" s="17">
        <f>F32*(K32-J32)</f>
        <v/>
      </c>
    </row>
    <row r="33" ht="16.5" customHeight="1">
      <c r="D33" s="13" t="inlineStr">
        <is>
          <t>牧德(3563)</t>
        </is>
      </c>
      <c r="E33" s="14" t="n">
        <v>5</v>
      </c>
      <c r="F33" s="14" t="n">
        <v>2</v>
      </c>
      <c r="G33" s="14" t="n">
        <v>438</v>
      </c>
      <c r="H33" s="14" t="n">
        <v>172</v>
      </c>
      <c r="I33" s="14" t="n">
        <v>266</v>
      </c>
      <c r="J33" s="15" t="n">
        <v>877</v>
      </c>
      <c r="K33" s="15" t="n">
        <v>859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景碩(3189)</t>
        </is>
      </c>
      <c r="E47" s="14" t="n">
        <v>75</v>
      </c>
      <c r="F47" s="14" t="n">
        <v>79</v>
      </c>
      <c r="G47" s="14" t="n">
        <v>3844</v>
      </c>
      <c r="H47" s="14" t="n">
        <v>4044</v>
      </c>
      <c r="I47" s="14" t="n">
        <v>-200</v>
      </c>
      <c r="J47" s="15" t="n">
        <v>512.48</v>
      </c>
      <c r="K47" s="15" t="n">
        <v>511.91</v>
      </c>
      <c r="L47" s="17">
        <f>F47*(K47-J47)</f>
        <v/>
      </c>
    </row>
    <row r="48" ht="16.5" customHeight="1">
      <c r="D48" s="13" t="inlineStr">
        <is>
          <t>華通(2313)</t>
        </is>
      </c>
      <c r="E48" s="14" t="n">
        <v>113</v>
      </c>
      <c r="F48" s="14" t="n">
        <v>101</v>
      </c>
      <c r="G48" s="14" t="n">
        <v>2889</v>
      </c>
      <c r="H48" s="14" t="n">
        <v>2587</v>
      </c>
      <c r="I48" s="14" t="n">
        <v>302</v>
      </c>
      <c r="J48" s="15" t="n">
        <v>255.7</v>
      </c>
      <c r="K48" s="15" t="n">
        <v>256.1</v>
      </c>
      <c r="L48" s="16">
        <f>F48*(K48-J48)</f>
        <v/>
      </c>
    </row>
    <row r="49" ht="16.5" customHeight="1">
      <c r="D49" s="13" t="inlineStr">
        <is>
          <t>愛普*(6531)</t>
        </is>
      </c>
      <c r="E49" s="14" t="n">
        <v>26</v>
      </c>
      <c r="F49" s="14" t="n">
        <v>1</v>
      </c>
      <c r="G49" s="14" t="n">
        <v>2735</v>
      </c>
      <c r="H49" s="14" t="n">
        <v>0</v>
      </c>
      <c r="I49" s="14" t="n">
        <v>2735</v>
      </c>
      <c r="J49" s="15" t="n">
        <v>1051.85</v>
      </c>
      <c r="K49" s="15" t="n">
        <v>1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8</v>
      </c>
      <c r="G50" s="14" t="n">
        <v>2493</v>
      </c>
      <c r="H50" s="14" t="n">
        <v>3942</v>
      </c>
      <c r="I50" s="14" t="n">
        <v>-1449</v>
      </c>
      <c r="J50" s="15" t="n">
        <v>4985.2</v>
      </c>
      <c r="K50" s="15" t="n">
        <v>4926.88</v>
      </c>
      <c r="L50" s="17">
        <f>F50*(K50-J50)</f>
        <v/>
      </c>
    </row>
    <row r="51" ht="16.5" customHeight="1">
      <c r="D51" s="13" t="inlineStr">
        <is>
          <t>華邦電(2344)</t>
        </is>
      </c>
      <c r="E51" s="14" t="n">
        <v>187</v>
      </c>
      <c r="F51" s="14" t="n">
        <v>123</v>
      </c>
      <c r="G51" s="14" t="n">
        <v>2280</v>
      </c>
      <c r="H51" s="14" t="n">
        <v>1519</v>
      </c>
      <c r="I51" s="14" t="n">
        <v>761</v>
      </c>
      <c r="J51" s="15" t="n">
        <v>121.9</v>
      </c>
      <c r="K51" s="15" t="n">
        <v>123.51</v>
      </c>
      <c r="L51" s="16">
        <f>F51*(K51-J51)</f>
        <v/>
      </c>
    </row>
    <row r="52" ht="16.5" customHeight="1">
      <c r="D52" s="13" t="inlineStr">
        <is>
          <t>頎邦(6147)</t>
        </is>
      </c>
      <c r="E52" s="14" t="n">
        <v>110</v>
      </c>
      <c r="F52" s="14" t="n">
        <v>120</v>
      </c>
      <c r="G52" s="14" t="n">
        <v>2232</v>
      </c>
      <c r="H52" s="14" t="n">
        <v>2428</v>
      </c>
      <c r="I52" s="14" t="n">
        <v>-196</v>
      </c>
      <c r="J52" s="15" t="n">
        <v>202.87</v>
      </c>
      <c r="K52" s="15" t="n">
        <v>202.36</v>
      </c>
      <c r="L52" s="17">
        <f>F52*(K52-J52)</f>
        <v/>
      </c>
    </row>
    <row r="53" ht="16.5" customHeight="1">
      <c r="D53" s="13" t="inlineStr">
        <is>
          <t>世界(5347)</t>
        </is>
      </c>
      <c r="E53" s="14" t="n">
        <v>113</v>
      </c>
      <c r="F53" s="14" t="n">
        <v>28</v>
      </c>
      <c r="G53" s="14" t="n">
        <v>1810</v>
      </c>
      <c r="H53" s="14" t="n">
        <v>456</v>
      </c>
      <c r="I53" s="14" t="n">
        <v>1354</v>
      </c>
      <c r="J53" s="15" t="n">
        <v>160.21</v>
      </c>
      <c r="K53" s="15" t="n">
        <v>162.82</v>
      </c>
      <c r="L53" s="16">
        <f>F53*(K53-J53)</f>
        <v/>
      </c>
    </row>
    <row r="54" ht="16.5" customHeight="1">
      <c r="D54" s="13" t="inlineStr">
        <is>
          <t>南亞科(2408)</t>
        </is>
      </c>
      <c r="E54" s="14" t="n">
        <v>61</v>
      </c>
      <c r="F54" s="14" t="n">
        <v>27</v>
      </c>
      <c r="G54" s="14" t="n">
        <v>1727</v>
      </c>
      <c r="H54" s="14" t="n">
        <v>765</v>
      </c>
      <c r="I54" s="14" t="n">
        <v>962</v>
      </c>
      <c r="J54" s="15" t="n">
        <v>283.1</v>
      </c>
      <c r="K54" s="15" t="n">
        <v>283.41</v>
      </c>
      <c r="L54" s="16">
        <f>F54*(K54-J54)</f>
        <v/>
      </c>
    </row>
    <row r="55" ht="16.5" customHeight="1">
      <c r="D55" s="13" t="inlineStr">
        <is>
          <t>聯發科(2454)</t>
        </is>
      </c>
      <c r="E55" s="14" t="n">
        <v>5</v>
      </c>
      <c r="F55" s="14" t="n">
        <v>1</v>
      </c>
      <c r="G55" s="14" t="n">
        <v>1572</v>
      </c>
      <c r="H55" s="14" t="n">
        <v>3</v>
      </c>
      <c r="I55" s="14" t="n">
        <v>1569</v>
      </c>
      <c r="J55" s="15" t="n">
        <v>3144.6</v>
      </c>
      <c r="K55" s="15" t="n">
        <v>32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聯電(2303)</t>
        </is>
      </c>
      <c r="E70" s="14" t="n">
        <v>2319</v>
      </c>
      <c r="F70" s="14" t="n">
        <v>2489</v>
      </c>
      <c r="G70" s="14" t="n">
        <v>27370</v>
      </c>
      <c r="H70" s="14" t="n">
        <v>29248</v>
      </c>
      <c r="I70" s="14" t="n">
        <v>-1878</v>
      </c>
      <c r="J70" s="15" t="n">
        <v>118.02</v>
      </c>
      <c r="K70" s="15" t="n">
        <v>117.51</v>
      </c>
      <c r="L70" s="17">
        <f>F70*(K70-J70)</f>
        <v/>
      </c>
    </row>
    <row r="71" ht="16.5" customHeight="1">
      <c r="D71" s="13" t="inlineStr">
        <is>
          <t>日電貿(3090)</t>
        </is>
      </c>
      <c r="E71" s="14" t="n">
        <v>1248</v>
      </c>
      <c r="F71" s="14" t="n">
        <v>1197</v>
      </c>
      <c r="G71" s="14" t="n">
        <v>20207</v>
      </c>
      <c r="H71" s="14" t="n">
        <v>19447</v>
      </c>
      <c r="I71" s="14" t="n">
        <v>760</v>
      </c>
      <c r="J71" s="15" t="n">
        <v>161.91</v>
      </c>
      <c r="K71" s="15" t="n">
        <v>162.46</v>
      </c>
      <c r="L71" s="16">
        <f>F71*(K71-J71)</f>
        <v/>
      </c>
    </row>
    <row r="72" ht="16.5" customHeight="1">
      <c r="D72" s="13" t="inlineStr">
        <is>
          <t>新應材(4749)</t>
        </is>
      </c>
      <c r="E72" s="14" t="n">
        <v>158</v>
      </c>
      <c r="F72" s="14" t="n">
        <v>1</v>
      </c>
      <c r="G72" s="14" t="n">
        <v>16152</v>
      </c>
      <c r="H72" s="14" t="n">
        <v>4</v>
      </c>
      <c r="I72" s="14" t="n">
        <v>16148</v>
      </c>
      <c r="J72" s="15" t="n">
        <v>1022.27</v>
      </c>
      <c r="K72" s="15" t="n">
        <v>40</v>
      </c>
      <c r="L72" s="17">
        <f>F72*(K72-J72)</f>
        <v/>
      </c>
    </row>
    <row r="73" ht="16.5" customHeight="1">
      <c r="D73" s="13" t="inlineStr">
        <is>
          <t>擎亞(8096)</t>
        </is>
      </c>
      <c r="E73" s="14" t="n">
        <v>1019</v>
      </c>
      <c r="F73" s="14" t="n">
        <v>400</v>
      </c>
      <c r="G73" s="14" t="n">
        <v>10814</v>
      </c>
      <c r="H73" s="14" t="n">
        <v>4170</v>
      </c>
      <c r="I73" s="14" t="n">
        <v>6644</v>
      </c>
      <c r="J73" s="15" t="n">
        <v>106.12</v>
      </c>
      <c r="K73" s="15" t="n">
        <v>104.25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471</v>
      </c>
      <c r="F74" s="14" t="n">
        <v>2</v>
      </c>
      <c r="G74" s="14" t="n">
        <v>8354</v>
      </c>
      <c r="H74" s="14" t="n">
        <v>36</v>
      </c>
      <c r="I74" s="14" t="n">
        <v>8318</v>
      </c>
      <c r="J74" s="15" t="n">
        <v>177.36</v>
      </c>
      <c r="K74" s="15" t="n">
        <v>177.5</v>
      </c>
      <c r="L74" s="16">
        <f>F74*(K74-J74)</f>
        <v/>
      </c>
    </row>
    <row r="75" ht="16.5" customHeight="1">
      <c r="D75" s="13" t="inlineStr">
        <is>
          <t>力成(6239)</t>
        </is>
      </c>
      <c r="E75" s="14" t="n">
        <v>338</v>
      </c>
      <c r="F75" s="14" t="n">
        <v>12</v>
      </c>
      <c r="G75" s="14" t="n">
        <v>7722</v>
      </c>
      <c r="H75" s="14" t="n">
        <v>277</v>
      </c>
      <c r="I75" s="14" t="n">
        <v>7445</v>
      </c>
      <c r="J75" s="15" t="n">
        <v>228.46</v>
      </c>
      <c r="K75" s="15" t="n">
        <v>230.83</v>
      </c>
      <c r="L75" s="16">
        <f>F75*(K75-J75)</f>
        <v/>
      </c>
    </row>
    <row r="76" ht="16.5" customHeight="1">
      <c r="D76" s="13" t="inlineStr">
        <is>
          <t>南亞科(2408)</t>
        </is>
      </c>
      <c r="E76" s="14" t="n">
        <v>244</v>
      </c>
      <c r="F76" s="14" t="n">
        <v>139</v>
      </c>
      <c r="G76" s="14" t="n">
        <v>7017</v>
      </c>
      <c r="H76" s="14" t="n">
        <v>4032</v>
      </c>
      <c r="I76" s="14" t="n">
        <v>2985</v>
      </c>
      <c r="J76" s="15" t="n">
        <v>287.57</v>
      </c>
      <c r="K76" s="15" t="n">
        <v>290.07</v>
      </c>
      <c r="L76" s="16">
        <f>F76*(K76-J76)</f>
        <v/>
      </c>
    </row>
    <row r="77" ht="16.5" customHeight="1">
      <c r="D77" s="13" t="inlineStr">
        <is>
          <t>尖點(8021)</t>
        </is>
      </c>
      <c r="E77" s="14" t="n">
        <v>179</v>
      </c>
      <c r="F77" s="14" t="n">
        <v>2</v>
      </c>
      <c r="G77" s="14" t="n">
        <v>6940</v>
      </c>
      <c r="H77" s="14" t="n">
        <v>79</v>
      </c>
      <c r="I77" s="14" t="n">
        <v>6861</v>
      </c>
      <c r="J77" s="15" t="n">
        <v>387.7</v>
      </c>
      <c r="K77" s="15" t="n">
        <v>394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國巨*(2327)</t>
        </is>
      </c>
      <c r="E84" s="14" t="n">
        <v>93</v>
      </c>
      <c r="F84" s="14" t="n">
        <v>512</v>
      </c>
      <c r="G84" s="14" t="n">
        <v>4697</v>
      </c>
      <c r="H84" s="14" t="n">
        <v>25716</v>
      </c>
      <c r="I84" s="14" t="n">
        <v>-21019</v>
      </c>
      <c r="J84" s="15" t="n">
        <v>505.1</v>
      </c>
      <c r="K84" s="15" t="n">
        <v>502.26</v>
      </c>
      <c r="L84" s="17">
        <f>F84*(K84-J84)</f>
        <v/>
      </c>
    </row>
    <row r="85" ht="16.5" customHeight="1">
      <c r="D85" s="13" t="inlineStr">
        <is>
          <t>創意(3443)</t>
        </is>
      </c>
      <c r="E85" s="14" t="n">
        <v>10</v>
      </c>
      <c r="F85" s="14" t="n">
        <v>18</v>
      </c>
      <c r="G85" s="14" t="n">
        <v>4626</v>
      </c>
      <c r="H85" s="14" t="n">
        <v>8065</v>
      </c>
      <c r="I85" s="14" t="n">
        <v>-3439</v>
      </c>
      <c r="J85" s="15" t="n">
        <v>4625.6</v>
      </c>
      <c r="K85" s="15" t="n">
        <v>4480.33</v>
      </c>
      <c r="L85" s="17">
        <f>F85*(K85-J85)</f>
        <v/>
      </c>
    </row>
    <row r="86" ht="16.5" customHeight="1">
      <c r="D86" s="13" t="inlineStr">
        <is>
          <t>力成(6239)</t>
        </is>
      </c>
      <c r="E86" s="14" t="n">
        <v>194</v>
      </c>
      <c r="F86" s="14" t="n">
        <v>334</v>
      </c>
      <c r="G86" s="14" t="n">
        <v>4456</v>
      </c>
      <c r="H86" s="14" t="n">
        <v>7661</v>
      </c>
      <c r="I86" s="14" t="n">
        <v>-3205</v>
      </c>
      <c r="J86" s="15" t="n">
        <v>229.67</v>
      </c>
      <c r="K86" s="15" t="n">
        <v>229.38</v>
      </c>
      <c r="L86" s="17">
        <f>F86*(K86-J86)</f>
        <v/>
      </c>
    </row>
    <row r="87" ht="16.5" customHeight="1">
      <c r="D87" s="13" t="inlineStr">
        <is>
          <t>緯穎(6669)</t>
        </is>
      </c>
      <c r="E87" s="14" t="n">
        <v>9</v>
      </c>
      <c r="F87" s="14" t="n">
        <v>4</v>
      </c>
      <c r="G87" s="14" t="n">
        <v>4444</v>
      </c>
      <c r="H87" s="14" t="n">
        <v>2164</v>
      </c>
      <c r="I87" s="14" t="n">
        <v>2280</v>
      </c>
      <c r="J87" s="15" t="n">
        <v>4938.22</v>
      </c>
      <c r="K87" s="15" t="n">
        <v>5409.75</v>
      </c>
      <c r="L87" s="16">
        <f>F87*(K87-J87)</f>
        <v/>
      </c>
    </row>
    <row r="88" ht="16.5" customHeight="1">
      <c r="D88" s="13" t="inlineStr">
        <is>
          <t>昇達科(3491)</t>
        </is>
      </c>
      <c r="E88" s="14" t="n">
        <v>23</v>
      </c>
      <c r="F88" s="14" t="n">
        <v>4</v>
      </c>
      <c r="G88" s="14" t="n">
        <v>4081</v>
      </c>
      <c r="H88" s="14" t="n">
        <v>769</v>
      </c>
      <c r="I88" s="14" t="n">
        <v>3312</v>
      </c>
      <c r="J88" s="15" t="n">
        <v>1774.35</v>
      </c>
      <c r="K88" s="15" t="n">
        <v>1921.5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1302</v>
      </c>
      <c r="F90" s="14" t="n">
        <v>1331</v>
      </c>
      <c r="G90" s="14" t="n">
        <v>15107</v>
      </c>
      <c r="H90" s="14" t="n">
        <v>15633</v>
      </c>
      <c r="I90" s="14" t="n">
        <v>-526</v>
      </c>
      <c r="J90" s="15" t="n">
        <v>116.03</v>
      </c>
      <c r="K90" s="15" t="n">
        <v>117.45</v>
      </c>
      <c r="L90" s="16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</v>
      </c>
      <c r="G91" s="14" t="n">
        <v>5528</v>
      </c>
      <c r="H91" s="14" t="n">
        <v>93</v>
      </c>
      <c r="I91" s="14" t="n">
        <v>5435</v>
      </c>
      <c r="J91" s="15" t="n">
        <v>2211.2</v>
      </c>
      <c r="K91" s="15" t="n">
        <v>930</v>
      </c>
      <c r="L91" s="17">
        <f>F91*(K91-J91)</f>
        <v/>
      </c>
    </row>
    <row r="92" ht="16.5" customHeight="1">
      <c r="D92" s="13" t="inlineStr">
        <is>
          <t>同欣電(6271)</t>
        </is>
      </c>
      <c r="E92" s="14" t="n">
        <v>152</v>
      </c>
      <c r="F92" s="14" t="n">
        <v>0</v>
      </c>
      <c r="G92" s="14" t="n">
        <v>2798</v>
      </c>
      <c r="H92" s="14" t="n">
        <v>0</v>
      </c>
      <c r="I92" s="14" t="n">
        <v>2798</v>
      </c>
      <c r="J92" s="15" t="n">
        <v>184.11</v>
      </c>
      <c r="K92" s="15" t="n">
        <v>0</v>
      </c>
      <c r="L92" s="16">
        <f>F92*(K92-J92)</f>
        <v/>
      </c>
    </row>
    <row r="93" ht="16.5" customHeight="1">
      <c r="D93" s="13" t="inlineStr">
        <is>
          <t>聯發科(2454)</t>
        </is>
      </c>
      <c r="E93" s="14" t="n">
        <v>8</v>
      </c>
      <c r="F93" s="14" t="n">
        <v>16</v>
      </c>
      <c r="G93" s="14" t="n">
        <v>2493</v>
      </c>
      <c r="H93" s="14" t="n">
        <v>5200</v>
      </c>
      <c r="I93" s="14" t="n">
        <v>-2707</v>
      </c>
      <c r="J93" s="15" t="n">
        <v>3116.25</v>
      </c>
      <c r="K93" s="15" t="n">
        <v>3249.94</v>
      </c>
      <c r="L93" s="16">
        <f>F93*(K93-J93)</f>
        <v/>
      </c>
    </row>
    <row r="94" ht="16.5" customHeight="1">
      <c r="D94" s="13" t="inlineStr">
        <is>
          <t>台達電(2308)</t>
        </is>
      </c>
      <c r="E94" s="14" t="n">
        <v>12</v>
      </c>
      <c r="F94" s="14" t="n">
        <v>1</v>
      </c>
      <c r="G94" s="14" t="n">
        <v>2291</v>
      </c>
      <c r="H94" s="14" t="n">
        <v>224</v>
      </c>
      <c r="I94" s="14" t="n">
        <v>2067</v>
      </c>
      <c r="J94" s="15" t="n">
        <v>1909.42</v>
      </c>
      <c r="K94" s="15" t="n">
        <v>2242</v>
      </c>
      <c r="L94" s="16">
        <f>F94*(K94-J94)</f>
        <v/>
      </c>
    </row>
    <row r="95" ht="16.5" customHeight="1">
      <c r="D95" s="13" t="inlineStr">
        <is>
          <t>景碩(3189)</t>
        </is>
      </c>
      <c r="E95" s="14" t="n">
        <v>35</v>
      </c>
      <c r="F95" s="14" t="n">
        <v>22</v>
      </c>
      <c r="G95" s="14" t="n">
        <v>1812</v>
      </c>
      <c r="H95" s="14" t="n">
        <v>1103</v>
      </c>
      <c r="I95" s="14" t="n">
        <v>709</v>
      </c>
      <c r="J95" s="15" t="n">
        <v>517.83</v>
      </c>
      <c r="K95" s="15" t="n">
        <v>501.45</v>
      </c>
      <c r="L95" s="17">
        <f>F95*(K95-J95)</f>
        <v/>
      </c>
    </row>
    <row r="96" ht="16.5" customHeight="1">
      <c r="D96" s="13" t="inlineStr">
        <is>
          <t>啟��(6285)</t>
        </is>
      </c>
      <c r="E96" s="14" t="n">
        <v>61</v>
      </c>
      <c r="F96" s="14" t="n">
        <v>46</v>
      </c>
      <c r="G96" s="14" t="n">
        <v>1784</v>
      </c>
      <c r="H96" s="14" t="n">
        <v>1336</v>
      </c>
      <c r="I96" s="14" t="n">
        <v>448</v>
      </c>
      <c r="J96" s="15" t="n">
        <v>292.52</v>
      </c>
      <c r="K96" s="15" t="n">
        <v>290.52</v>
      </c>
      <c r="L96" s="17">
        <f>F96*(K96-J96)</f>
        <v/>
      </c>
    </row>
    <row r="97" ht="16.5" customHeight="1">
      <c r="D97" s="13" t="inlineStr">
        <is>
          <t>旺宏(2337)</t>
        </is>
      </c>
      <c r="E97" s="14" t="n">
        <v>106</v>
      </c>
      <c r="F97" s="14" t="n">
        <v>27</v>
      </c>
      <c r="G97" s="14" t="n">
        <v>1577</v>
      </c>
      <c r="H97" s="14" t="n">
        <v>403</v>
      </c>
      <c r="I97" s="14" t="n">
        <v>1174</v>
      </c>
      <c r="J97" s="15" t="n">
        <v>148.78</v>
      </c>
      <c r="K97" s="15" t="n">
        <v>149.22</v>
      </c>
      <c r="L97" s="16">
        <f>F97*(K97-J97)</f>
        <v/>
      </c>
    </row>
    <row r="98" ht="16.5" customHeight="1">
      <c r="D98" s="13" t="inlineStr">
        <is>
          <t>國巨*(2327)</t>
        </is>
      </c>
      <c r="E98" s="14" t="n">
        <v>29</v>
      </c>
      <c r="F98" s="14" t="n">
        <v>17</v>
      </c>
      <c r="G98" s="14" t="n">
        <v>1438</v>
      </c>
      <c r="H98" s="14" t="n">
        <v>821</v>
      </c>
      <c r="I98" s="14" t="n">
        <v>617</v>
      </c>
      <c r="J98" s="15" t="n">
        <v>495.97</v>
      </c>
      <c r="K98" s="15" t="n">
        <v>482.94</v>
      </c>
      <c r="L98" s="17">
        <f>F98*(K98-J98)</f>
        <v/>
      </c>
    </row>
    <row r="99" ht="16.5" customHeight="1">
      <c r="D99" s="13" t="inlineStr">
        <is>
          <t>頎邦(6147)</t>
        </is>
      </c>
      <c r="E99" s="14" t="n">
        <v>63</v>
      </c>
      <c r="F99" s="14" t="n">
        <v>35</v>
      </c>
      <c r="G99" s="14" t="n">
        <v>1348</v>
      </c>
      <c r="H99" s="14" t="n">
        <v>726</v>
      </c>
      <c r="I99" s="14" t="n">
        <v>622</v>
      </c>
      <c r="J99" s="15" t="n">
        <v>214.02</v>
      </c>
      <c r="K99" s="15" t="n">
        <v>207.57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中華電(2412)</t>
        </is>
      </c>
      <c r="E106" s="14" t="n">
        <v>1123</v>
      </c>
      <c r="F106" s="14" t="n">
        <v>1275</v>
      </c>
      <c r="G106" s="14" t="n">
        <v>15939</v>
      </c>
      <c r="H106" s="14" t="n">
        <v>18090</v>
      </c>
      <c r="I106" s="14" t="n">
        <v>-2151</v>
      </c>
      <c r="J106" s="15" t="n">
        <v>141.94</v>
      </c>
      <c r="K106" s="15" t="n">
        <v>141.88</v>
      </c>
      <c r="L106" s="17">
        <f>F106*(K106-J106)</f>
        <v/>
      </c>
    </row>
    <row r="107" ht="16.5" customHeight="1">
      <c r="D107" s="13" t="inlineStr">
        <is>
          <t>牧德(3563)</t>
        </is>
      </c>
      <c r="E107" s="14" t="n">
        <v>185</v>
      </c>
      <c r="F107" s="14" t="n">
        <v>8</v>
      </c>
      <c r="G107" s="14" t="n">
        <v>15804</v>
      </c>
      <c r="H107" s="14" t="n">
        <v>719</v>
      </c>
      <c r="I107" s="14" t="n">
        <v>15085</v>
      </c>
      <c r="J107" s="15" t="n">
        <v>854.25</v>
      </c>
      <c r="K107" s="15" t="n">
        <v>898.38</v>
      </c>
      <c r="L107" s="16">
        <f>F107*(K107-J107)</f>
        <v/>
      </c>
    </row>
    <row r="108" ht="16.5" customHeight="1">
      <c r="D108" s="13" t="inlineStr">
        <is>
          <t>聯發科(2454)</t>
        </is>
      </c>
      <c r="E108" s="14" t="n">
        <v>47</v>
      </c>
      <c r="F108" s="14" t="n">
        <v>63</v>
      </c>
      <c r="G108" s="14" t="n">
        <v>14867</v>
      </c>
      <c r="H108" s="14" t="n">
        <v>19736</v>
      </c>
      <c r="I108" s="14" t="n">
        <v>-4869</v>
      </c>
      <c r="J108" s="15" t="n">
        <v>3163.23</v>
      </c>
      <c r="K108" s="15" t="n">
        <v>3132.75</v>
      </c>
      <c r="L108" s="17">
        <f>F108*(K108-J108)</f>
        <v/>
      </c>
    </row>
    <row r="109" ht="16.5" customHeight="1">
      <c r="D109" s="13" t="inlineStr">
        <is>
          <t>啟��(6285)</t>
        </is>
      </c>
      <c r="E109" s="14" t="n">
        <v>437</v>
      </c>
      <c r="F109" s="14" t="n">
        <v>207</v>
      </c>
      <c r="G109" s="14" t="n">
        <v>12831</v>
      </c>
      <c r="H109" s="14" t="n">
        <v>6089</v>
      </c>
      <c r="I109" s="14" t="n">
        <v>6742</v>
      </c>
      <c r="J109" s="15" t="n">
        <v>293.61</v>
      </c>
      <c r="K109" s="15" t="n">
        <v>294.17</v>
      </c>
      <c r="L109" s="16">
        <f>F109*(K109-J109)</f>
        <v/>
      </c>
    </row>
    <row r="110" ht="16.5" customHeight="1">
      <c r="D110" s="13" t="inlineStr">
        <is>
          <t>台積電(2330)</t>
        </is>
      </c>
      <c r="E110" s="14" t="n">
        <v>58</v>
      </c>
      <c r="F110" s="14" t="n">
        <v>40</v>
      </c>
      <c r="G110" s="14" t="n">
        <v>12822</v>
      </c>
      <c r="H110" s="14" t="n">
        <v>8910</v>
      </c>
      <c r="I110" s="14" t="n">
        <v>3912</v>
      </c>
      <c r="J110" s="15" t="n">
        <v>2210.67</v>
      </c>
      <c r="K110" s="15" t="n">
        <v>2227.6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臻鼎-KY(4958)</t>
        </is>
      </c>
      <c r="E132" s="14" t="n">
        <v>59</v>
      </c>
      <c r="F132" s="14" t="n">
        <v>85</v>
      </c>
      <c r="G132" s="14" t="n">
        <v>2395</v>
      </c>
      <c r="H132" s="14" t="n">
        <v>3488</v>
      </c>
      <c r="I132" s="14" t="n">
        <v>-1093</v>
      </c>
      <c r="J132" s="15" t="n">
        <v>405.97</v>
      </c>
      <c r="K132" s="15" t="n">
        <v>410.35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聯電(2303)</t>
        </is>
      </c>
      <c r="E151" s="14" t="n">
        <v>1939</v>
      </c>
      <c r="F151" s="14" t="n">
        <v>5434</v>
      </c>
      <c r="G151" s="14" t="n">
        <v>22551</v>
      </c>
      <c r="H151" s="14" t="n">
        <v>61626</v>
      </c>
      <c r="I151" s="14" t="n">
        <v>-39075</v>
      </c>
      <c r="J151" s="15" t="n">
        <v>116.3</v>
      </c>
      <c r="K151" s="15" t="n">
        <v>113.41</v>
      </c>
      <c r="L151" s="17">
        <f>F151*(K151-J151)</f>
        <v/>
      </c>
    </row>
    <row r="152" ht="16.5" customHeight="1">
      <c r="D152" s="13" t="inlineStr">
        <is>
          <t>鴻海(2317)</t>
        </is>
      </c>
      <c r="E152" s="14" t="n">
        <v>896</v>
      </c>
      <c r="F152" s="14" t="n">
        <v>83</v>
      </c>
      <c r="G152" s="14" t="n">
        <v>22304</v>
      </c>
      <c r="H152" s="14" t="n">
        <v>2080</v>
      </c>
      <c r="I152" s="14" t="n">
        <v>20224</v>
      </c>
      <c r="J152" s="15" t="n">
        <v>248.93</v>
      </c>
      <c r="K152" s="15" t="n">
        <v>250.64</v>
      </c>
      <c r="L152" s="16">
        <f>F152*(K152-J152)</f>
        <v/>
      </c>
    </row>
    <row r="153" ht="16.5" customHeight="1">
      <c r="D153" s="13" t="inlineStr">
        <is>
          <t>國巨*(2327)</t>
        </is>
      </c>
      <c r="E153" s="14" t="n">
        <v>377</v>
      </c>
      <c r="F153" s="14" t="n">
        <v>45</v>
      </c>
      <c r="G153" s="14" t="n">
        <v>18777</v>
      </c>
      <c r="H153" s="14" t="n">
        <v>2270</v>
      </c>
      <c r="I153" s="14" t="n">
        <v>16507</v>
      </c>
      <c r="J153" s="15" t="n">
        <v>498.07</v>
      </c>
      <c r="K153" s="15" t="n">
        <v>504.36</v>
      </c>
      <c r="L153" s="16">
        <f>F153*(K153-J153)</f>
        <v/>
      </c>
    </row>
    <row r="154" ht="16.5" customHeight="1">
      <c r="D154" s="13" t="inlineStr">
        <is>
          <t>新唐(4919)</t>
        </is>
      </c>
      <c r="E154" s="14" t="n">
        <v>1192</v>
      </c>
      <c r="F154" s="14" t="n">
        <v>305</v>
      </c>
      <c r="G154" s="14" t="n">
        <v>17925</v>
      </c>
      <c r="H154" s="14" t="n">
        <v>4500</v>
      </c>
      <c r="I154" s="14" t="n">
        <v>13425</v>
      </c>
      <c r="J154" s="15" t="n">
        <v>150.38</v>
      </c>
      <c r="K154" s="15" t="n">
        <v>147.54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台積電(2330)</t>
        </is>
      </c>
      <c r="E162" s="14" t="n">
        <v>66</v>
      </c>
      <c r="F162" s="14" t="n">
        <v>238</v>
      </c>
      <c r="G162" s="14" t="n">
        <v>14744</v>
      </c>
      <c r="H162" s="14" t="n">
        <v>52552</v>
      </c>
      <c r="I162" s="14" t="n">
        <v>-37808</v>
      </c>
      <c r="J162" s="15" t="n">
        <v>2233.88</v>
      </c>
      <c r="K162" s="15" t="n">
        <v>2208.08</v>
      </c>
      <c r="L162" s="17">
        <f>F162*(K162-J162)</f>
        <v/>
      </c>
    </row>
    <row r="163" ht="16.5" customHeight="1">
      <c r="D163" s="13" t="inlineStr">
        <is>
          <t>台達電(2308)</t>
        </is>
      </c>
      <c r="E163" s="14" t="n">
        <v>71</v>
      </c>
      <c r="F163" s="14" t="n">
        <v>138</v>
      </c>
      <c r="G163" s="14" t="n">
        <v>13574</v>
      </c>
      <c r="H163" s="14" t="n">
        <v>26382</v>
      </c>
      <c r="I163" s="14" t="n">
        <v>-12808</v>
      </c>
      <c r="J163" s="15" t="n">
        <v>1911.82</v>
      </c>
      <c r="K163" s="15" t="n">
        <v>1911.71</v>
      </c>
      <c r="L163" s="17">
        <f>F163*(K163-J163)</f>
        <v/>
      </c>
    </row>
    <row r="164" ht="16.5" customHeight="1">
      <c r="D164" s="13" t="inlineStr">
        <is>
          <t>大立光(3008)</t>
        </is>
      </c>
      <c r="E164" s="14" t="n">
        <v>39</v>
      </c>
      <c r="F164" s="14" t="n">
        <v>19</v>
      </c>
      <c r="G164" s="14" t="n">
        <v>13065</v>
      </c>
      <c r="H164" s="14" t="n">
        <v>6396</v>
      </c>
      <c r="I164" s="14" t="n">
        <v>6669</v>
      </c>
      <c r="J164" s="15" t="n">
        <v>3349.97</v>
      </c>
      <c r="K164" s="15" t="n">
        <v>3366.42</v>
      </c>
      <c r="L164" s="16">
        <f>F164*(K164-J164)</f>
        <v/>
      </c>
    </row>
    <row r="165" ht="16.5" customHeight="1">
      <c r="D165" s="13" t="inlineStr">
        <is>
          <t>鴻海(2317)</t>
        </is>
      </c>
      <c r="E165" s="14" t="n">
        <v>485</v>
      </c>
      <c r="F165" s="14" t="n">
        <v>2504</v>
      </c>
      <c r="G165" s="14" t="n">
        <v>12044</v>
      </c>
      <c r="H165" s="14" t="n">
        <v>61577</v>
      </c>
      <c r="I165" s="14" t="n">
        <v>-49533</v>
      </c>
      <c r="J165" s="15" t="n">
        <v>248.33</v>
      </c>
      <c r="K165" s="15" t="n">
        <v>245.92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聯電(2303)</t>
        </is>
      </c>
      <c r="E169" s="14" t="n">
        <v>2319</v>
      </c>
      <c r="F169" s="14" t="n">
        <v>2489</v>
      </c>
      <c r="G169" s="14" t="n">
        <v>27370</v>
      </c>
      <c r="H169" s="14" t="n">
        <v>29248</v>
      </c>
      <c r="I169" s="14" t="n">
        <v>-1878</v>
      </c>
      <c r="J169" s="15" t="n">
        <v>118.02</v>
      </c>
      <c r="K169" s="15" t="n">
        <v>117.51</v>
      </c>
      <c r="L169" s="17">
        <f>F169*(K169-J169)</f>
        <v/>
      </c>
    </row>
    <row r="170" ht="16.5" customHeight="1">
      <c r="D170" s="13" t="inlineStr">
        <is>
          <t>日電貿(3090)</t>
        </is>
      </c>
      <c r="E170" s="14" t="n">
        <v>1248</v>
      </c>
      <c r="F170" s="14" t="n">
        <v>1197</v>
      </c>
      <c r="G170" s="14" t="n">
        <v>20207</v>
      </c>
      <c r="H170" s="14" t="n">
        <v>19447</v>
      </c>
      <c r="I170" s="14" t="n">
        <v>760</v>
      </c>
      <c r="J170" s="15" t="n">
        <v>161.91</v>
      </c>
      <c r="K170" s="15" t="n">
        <v>162.46</v>
      </c>
      <c r="L170" s="16">
        <f>F170*(K170-J170)</f>
        <v/>
      </c>
    </row>
    <row r="171" ht="16.5" customHeight="1">
      <c r="D171" s="13" t="inlineStr">
        <is>
          <t>新應材(4749)</t>
        </is>
      </c>
      <c r="E171" s="14" t="n">
        <v>158</v>
      </c>
      <c r="F171" s="14" t="n">
        <v>1</v>
      </c>
      <c r="G171" s="14" t="n">
        <v>16152</v>
      </c>
      <c r="H171" s="14" t="n">
        <v>4</v>
      </c>
      <c r="I171" s="14" t="n">
        <v>16148</v>
      </c>
      <c r="J171" s="15" t="n">
        <v>1022.27</v>
      </c>
      <c r="K171" s="15" t="n">
        <v>40</v>
      </c>
      <c r="L171" s="17">
        <f>F171*(K171-J171)</f>
        <v/>
      </c>
    </row>
    <row r="172" ht="16.5" customHeight="1">
      <c r="D172" s="13" t="inlineStr">
        <is>
          <t>擎亞(8096)</t>
        </is>
      </c>
      <c r="E172" s="14" t="n">
        <v>1019</v>
      </c>
      <c r="F172" s="14" t="n">
        <v>400</v>
      </c>
      <c r="G172" s="14" t="n">
        <v>10814</v>
      </c>
      <c r="H172" s="14" t="n">
        <v>4170</v>
      </c>
      <c r="I172" s="14" t="n">
        <v>6644</v>
      </c>
      <c r="J172" s="15" t="n">
        <v>106.12</v>
      </c>
      <c r="K172" s="15" t="n">
        <v>104.25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471</v>
      </c>
      <c r="F173" s="14" t="n">
        <v>2</v>
      </c>
      <c r="G173" s="14" t="n">
        <v>8354</v>
      </c>
      <c r="H173" s="14" t="n">
        <v>36</v>
      </c>
      <c r="I173" s="14" t="n">
        <v>8318</v>
      </c>
      <c r="J173" s="15" t="n">
        <v>177.36</v>
      </c>
      <c r="K173" s="15" t="n">
        <v>177.5</v>
      </c>
      <c r="L173" s="16">
        <f>F173*(K173-J173)</f>
        <v/>
      </c>
    </row>
    <row r="174" ht="16.5" customHeight="1">
      <c r="D174" s="13" t="inlineStr">
        <is>
          <t>力成(6239)</t>
        </is>
      </c>
      <c r="E174" s="14" t="n">
        <v>338</v>
      </c>
      <c r="F174" s="14" t="n">
        <v>12</v>
      </c>
      <c r="G174" s="14" t="n">
        <v>7722</v>
      </c>
      <c r="H174" s="14" t="n">
        <v>277</v>
      </c>
      <c r="I174" s="14" t="n">
        <v>7445</v>
      </c>
      <c r="J174" s="15" t="n">
        <v>228.46</v>
      </c>
      <c r="K174" s="15" t="n">
        <v>230.83</v>
      </c>
      <c r="L174" s="16">
        <f>F174*(K174-J174)</f>
        <v/>
      </c>
    </row>
    <row r="175" ht="16.5" customHeight="1">
      <c r="D175" s="13" t="inlineStr">
        <is>
          <t>南亞科(2408)</t>
        </is>
      </c>
      <c r="E175" s="14" t="n">
        <v>244</v>
      </c>
      <c r="F175" s="14" t="n">
        <v>139</v>
      </c>
      <c r="G175" s="14" t="n">
        <v>7017</v>
      </c>
      <c r="H175" s="14" t="n">
        <v>4032</v>
      </c>
      <c r="I175" s="14" t="n">
        <v>2985</v>
      </c>
      <c r="J175" s="15" t="n">
        <v>287.57</v>
      </c>
      <c r="K175" s="15" t="n">
        <v>290.07</v>
      </c>
      <c r="L175" s="16">
        <f>F175*(K175-J175)</f>
        <v/>
      </c>
    </row>
    <row r="176" ht="16.5" customHeight="1">
      <c r="D176" s="13" t="inlineStr">
        <is>
          <t>尖點(8021)</t>
        </is>
      </c>
      <c r="E176" s="14" t="n">
        <v>179</v>
      </c>
      <c r="F176" s="14" t="n">
        <v>2</v>
      </c>
      <c r="G176" s="14" t="n">
        <v>6940</v>
      </c>
      <c r="H176" s="14" t="n">
        <v>79</v>
      </c>
      <c r="I176" s="14" t="n">
        <v>6861</v>
      </c>
      <c r="J176" s="15" t="n">
        <v>387.7</v>
      </c>
      <c r="K176" s="15" t="n">
        <v>394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旺宏(2337)</t>
        </is>
      </c>
      <c r="E184" s="14" t="n">
        <v>355</v>
      </c>
      <c r="F184" s="14" t="n">
        <v>516</v>
      </c>
      <c r="G184" s="14" t="n">
        <v>5258</v>
      </c>
      <c r="H184" s="14" t="n">
        <v>7560</v>
      </c>
      <c r="I184" s="14" t="n">
        <v>-2302</v>
      </c>
      <c r="J184" s="15" t="n">
        <v>148.11</v>
      </c>
      <c r="K184" s="15" t="n">
        <v>146.51</v>
      </c>
      <c r="L184" s="17">
        <f>F184*(K184-J184)</f>
        <v/>
      </c>
    </row>
    <row r="185" ht="16.5" customHeight="1">
      <c r="D185" s="13" t="inlineStr">
        <is>
          <t>元大台灣50(0050)</t>
        </is>
      </c>
      <c r="E185" s="14" t="n">
        <v>381</v>
      </c>
      <c r="F185" s="14" t="n">
        <v>194</v>
      </c>
      <c r="G185" s="14" t="n">
        <v>3577</v>
      </c>
      <c r="H185" s="14" t="n">
        <v>1812</v>
      </c>
      <c r="I185" s="14" t="n">
        <v>1765</v>
      </c>
      <c r="J185" s="15" t="n">
        <v>93.87</v>
      </c>
      <c r="K185" s="15" t="n">
        <v>93.38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894</v>
      </c>
      <c r="F186" s="14" t="n">
        <v>568</v>
      </c>
      <c r="G186" s="14" t="n">
        <v>3408</v>
      </c>
      <c r="H186" s="14" t="n">
        <v>2156</v>
      </c>
      <c r="I186" s="14" t="n">
        <v>1252</v>
      </c>
      <c r="J186" s="15" t="n">
        <v>38.13</v>
      </c>
      <c r="K186" s="15" t="n">
        <v>37.96</v>
      </c>
      <c r="L186" s="17">
        <f>F186*(K186-J186)</f>
        <v/>
      </c>
    </row>
    <row r="187" ht="16.5" customHeight="1">
      <c r="D187" s="13" t="inlineStr">
        <is>
          <t>技嘉(2376)</t>
        </is>
      </c>
      <c r="E187" s="14" t="n">
        <v>89</v>
      </c>
      <c r="F187" s="14" t="n">
        <v>38</v>
      </c>
      <c r="G187" s="14" t="n">
        <v>2720</v>
      </c>
      <c r="H187" s="14" t="n">
        <v>1144</v>
      </c>
      <c r="I187" s="14" t="n">
        <v>1576</v>
      </c>
      <c r="J187" s="15" t="n">
        <v>305.64</v>
      </c>
      <c r="K187" s="15" t="n">
        <v>301.08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景碩(3189)</t>
        </is>
      </c>
      <c r="E190" s="14" t="n">
        <v>102</v>
      </c>
      <c r="F190" s="14" t="n">
        <v>125</v>
      </c>
      <c r="G190" s="14" t="n">
        <v>5252</v>
      </c>
      <c r="H190" s="14" t="n">
        <v>6419</v>
      </c>
      <c r="I190" s="14" t="n">
        <v>-1167</v>
      </c>
      <c r="J190" s="15" t="n">
        <v>514.85</v>
      </c>
      <c r="K190" s="15" t="n">
        <v>513.51</v>
      </c>
      <c r="L190" s="17">
        <f>F190*(K190-J190)</f>
        <v/>
      </c>
    </row>
    <row r="191" ht="16.5" customHeight="1">
      <c r="D191" s="13" t="inlineStr">
        <is>
          <t>台積電(2330)</t>
        </is>
      </c>
      <c r="E191" s="14" t="n">
        <v>22</v>
      </c>
      <c r="F191" s="14" t="n">
        <v>160</v>
      </c>
      <c r="G191" s="14" t="n">
        <v>4793</v>
      </c>
      <c r="H191" s="14" t="n">
        <v>35492</v>
      </c>
      <c r="I191" s="14" t="n">
        <v>-30699</v>
      </c>
      <c r="J191" s="15" t="n">
        <v>2178.5</v>
      </c>
      <c r="K191" s="15" t="n">
        <v>2218.25</v>
      </c>
      <c r="L191" s="16">
        <f>F191*(K191-J191)</f>
        <v/>
      </c>
    </row>
    <row r="192" ht="16.5" customHeight="1">
      <c r="D192" s="13" t="inlineStr">
        <is>
          <t>南亞科(2408)</t>
        </is>
      </c>
      <c r="E192" s="14" t="n">
        <v>159</v>
      </c>
      <c r="F192" s="14" t="n">
        <v>114</v>
      </c>
      <c r="G192" s="14" t="n">
        <v>4457</v>
      </c>
      <c r="H192" s="14" t="n">
        <v>3275</v>
      </c>
      <c r="I192" s="14" t="n">
        <v>1182</v>
      </c>
      <c r="J192" s="15" t="n">
        <v>280.31</v>
      </c>
      <c r="K192" s="15" t="n">
        <v>287.28</v>
      </c>
      <c r="L192" s="16">
        <f>F192*(K192-J192)</f>
        <v/>
      </c>
    </row>
    <row r="193" ht="16.5" customHeight="1">
      <c r="D193" s="13" t="inlineStr">
        <is>
          <t>聯發科(2454)</t>
        </is>
      </c>
      <c r="E193" s="14" t="n">
        <v>14</v>
      </c>
      <c r="F193" s="14" t="n">
        <v>1</v>
      </c>
      <c r="G193" s="14" t="n">
        <v>4284</v>
      </c>
      <c r="H193" s="14" t="n">
        <v>204</v>
      </c>
      <c r="I193" s="14" t="n">
        <v>4080</v>
      </c>
      <c r="J193" s="15" t="n">
        <v>3059.86</v>
      </c>
      <c r="K193" s="15" t="n">
        <v>2039</v>
      </c>
      <c r="L193" s="17">
        <f>F193*(K193-J193)</f>
        <v/>
      </c>
    </row>
    <row r="194" ht="16.5" customHeight="1">
      <c r="D194" s="13" t="inlineStr">
        <is>
          <t>昇達科(3491)</t>
        </is>
      </c>
      <c r="E194" s="14" t="n">
        <v>23</v>
      </c>
      <c r="F194" s="14" t="n">
        <v>31</v>
      </c>
      <c r="G194" s="14" t="n">
        <v>3974</v>
      </c>
      <c r="H194" s="14" t="n">
        <v>5524</v>
      </c>
      <c r="I194" s="14" t="n">
        <v>-1550</v>
      </c>
      <c r="J194" s="15" t="n">
        <v>1727.74</v>
      </c>
      <c r="K194" s="15" t="n">
        <v>1781.77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16</v>
      </c>
      <c r="F195" s="14" t="n">
        <v>8</v>
      </c>
      <c r="G195" s="14" t="n">
        <v>3883</v>
      </c>
      <c r="H195" s="14" t="n">
        <v>1869</v>
      </c>
      <c r="I195" s="14" t="n">
        <v>2014</v>
      </c>
      <c r="J195" s="15" t="n">
        <v>2426.62</v>
      </c>
      <c r="K195" s="15" t="n">
        <v>2336.12</v>
      </c>
      <c r="L195" s="17">
        <f>F195*(K195-J195)</f>
        <v/>
      </c>
    </row>
    <row r="196" ht="16.5" customHeight="1">
      <c r="D196" s="13" t="inlineStr">
        <is>
          <t>旺宏(2337)</t>
        </is>
      </c>
      <c r="E196" s="14" t="n">
        <v>261</v>
      </c>
      <c r="F196" s="14" t="n">
        <v>348</v>
      </c>
      <c r="G196" s="14" t="n">
        <v>3849</v>
      </c>
      <c r="H196" s="14" t="n">
        <v>5232</v>
      </c>
      <c r="I196" s="14" t="n">
        <v>-1383</v>
      </c>
      <c r="J196" s="15" t="n">
        <v>147.49</v>
      </c>
      <c r="K196" s="15" t="n">
        <v>150.34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323</v>
      </c>
      <c r="F197" s="14" t="n">
        <v>119</v>
      </c>
      <c r="G197" s="14" t="n">
        <v>3710</v>
      </c>
      <c r="H197" s="14" t="n">
        <v>1382</v>
      </c>
      <c r="I197" s="14" t="n">
        <v>2328</v>
      </c>
      <c r="J197" s="15" t="n">
        <v>114.85</v>
      </c>
      <c r="K197" s="15" t="n">
        <v>116.15</v>
      </c>
      <c r="L197" s="16">
        <f>F197*(K197-J197)</f>
        <v/>
      </c>
    </row>
    <row r="198" ht="16.5" customHeight="1">
      <c r="D198" s="13" t="inlineStr">
        <is>
          <t>群創(3481)</t>
        </is>
      </c>
      <c r="E198" s="14" t="n">
        <v>823</v>
      </c>
      <c r="F198" s="14" t="n">
        <v>501</v>
      </c>
      <c r="G198" s="14" t="n">
        <v>3108</v>
      </c>
      <c r="H198" s="14" t="n">
        <v>1908</v>
      </c>
      <c r="I198" s="14" t="n">
        <v>1200</v>
      </c>
      <c r="J198" s="15" t="n">
        <v>37.77</v>
      </c>
      <c r="K198" s="15" t="n">
        <v>38.08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華通(2313)</t>
        </is>
      </c>
      <c r="E206" s="14" t="n">
        <v>90</v>
      </c>
      <c r="F206" s="14" t="n">
        <v>104</v>
      </c>
      <c r="G206" s="14" t="n">
        <v>2354</v>
      </c>
      <c r="H206" s="14" t="n">
        <v>2797</v>
      </c>
      <c r="I206" s="14" t="n">
        <v>-443</v>
      </c>
      <c r="J206" s="15" t="n">
        <v>261.56</v>
      </c>
      <c r="K206" s="15" t="n">
        <v>268.96</v>
      </c>
      <c r="L206" s="16">
        <f>F206*(K206-J206)</f>
        <v/>
      </c>
    </row>
    <row r="207" ht="16.5" customHeight="1">
      <c r="D207" s="13" t="inlineStr">
        <is>
          <t>旺宏(2337)</t>
        </is>
      </c>
      <c r="E207" s="14" t="n">
        <v>141</v>
      </c>
      <c r="F207" s="14" t="n">
        <v>43</v>
      </c>
      <c r="G207" s="14" t="n">
        <v>2148</v>
      </c>
      <c r="H207" s="14" t="n">
        <v>625</v>
      </c>
      <c r="I207" s="14" t="n">
        <v>1523</v>
      </c>
      <c r="J207" s="15" t="n">
        <v>152.31</v>
      </c>
      <c r="K207" s="15" t="n">
        <v>145.26</v>
      </c>
      <c r="L207" s="17">
        <f>F207*(K207-J207)</f>
        <v/>
      </c>
    </row>
    <row r="208" ht="16.5" customHeight="1">
      <c r="D208" s="13" t="inlineStr">
        <is>
          <t>南亞科(2408)</t>
        </is>
      </c>
      <c r="E208" s="14" t="n">
        <v>72</v>
      </c>
      <c r="F208" s="14" t="n">
        <v>40</v>
      </c>
      <c r="G208" s="14" t="n">
        <v>2032</v>
      </c>
      <c r="H208" s="14" t="n">
        <v>1107</v>
      </c>
      <c r="I208" s="14" t="n">
        <v>925</v>
      </c>
      <c r="J208" s="15" t="n">
        <v>282.22</v>
      </c>
      <c r="K208" s="15" t="n">
        <v>276.77</v>
      </c>
      <c r="L208" s="17">
        <f>F208*(K208-J208)</f>
        <v/>
      </c>
    </row>
    <row r="209" ht="16.5" customHeight="1">
      <c r="D209" s="13" t="inlineStr">
        <is>
          <t>臻鼎-KY(4958)</t>
        </is>
      </c>
      <c r="E209" s="14" t="n">
        <v>40</v>
      </c>
      <c r="F209" s="14" t="n">
        <v>28</v>
      </c>
      <c r="G209" s="14" t="n">
        <v>1649</v>
      </c>
      <c r="H209" s="14" t="n">
        <v>1146</v>
      </c>
      <c r="I209" s="14" t="n">
        <v>503</v>
      </c>
      <c r="J209" s="15" t="n">
        <v>412.2</v>
      </c>
      <c r="K209" s="15" t="n">
        <v>409.32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華通(2313)</t>
        </is>
      </c>
      <c r="E231" s="14" t="n">
        <v>57</v>
      </c>
      <c r="F231" s="14" t="n">
        <v>89</v>
      </c>
      <c r="G231" s="14" t="n">
        <v>1512</v>
      </c>
      <c r="H231" s="14" t="n">
        <v>2330</v>
      </c>
      <c r="I231" s="14" t="n">
        <v>-818</v>
      </c>
      <c r="J231" s="15" t="n">
        <v>265.28</v>
      </c>
      <c r="K231" s="15" t="n">
        <v>261.81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景碩(3189)</t>
        </is>
      </c>
      <c r="E236" s="14" t="n">
        <v>30</v>
      </c>
      <c r="F236" s="14" t="n">
        <v>38</v>
      </c>
      <c r="G236" s="14" t="n">
        <v>1559</v>
      </c>
      <c r="H236" s="14" t="n">
        <v>1925</v>
      </c>
      <c r="I236" s="14" t="n">
        <v>-366</v>
      </c>
      <c r="J236" s="15" t="n">
        <v>519.8</v>
      </c>
      <c r="K236" s="15" t="n">
        <v>506.53</v>
      </c>
      <c r="L236" s="17">
        <f>F236*(K236-J236)</f>
        <v/>
      </c>
    </row>
    <row r="237" ht="16.5" customHeight="1">
      <c r="D237" s="13" t="inlineStr">
        <is>
          <t>緯穎(6669)</t>
        </is>
      </c>
      <c r="E237" s="14" t="n">
        <v>3</v>
      </c>
      <c r="F237" s="14" t="n">
        <v>2</v>
      </c>
      <c r="G237" s="14" t="n">
        <v>1492</v>
      </c>
      <c r="H237" s="14" t="n">
        <v>981</v>
      </c>
      <c r="I237" s="14" t="n">
        <v>511</v>
      </c>
      <c r="J237" s="15" t="n">
        <v>4973.33</v>
      </c>
      <c r="K237" s="15" t="n">
        <v>4905</v>
      </c>
      <c r="L237" s="17">
        <f>F237*(K237-J237)</f>
        <v/>
      </c>
    </row>
    <row r="238" ht="16.5" customHeight="1">
      <c r="D238" s="13" t="inlineStr">
        <is>
          <t>華通(2313)</t>
        </is>
      </c>
      <c r="E238" s="14" t="n">
        <v>56</v>
      </c>
      <c r="F238" s="14" t="n">
        <v>64</v>
      </c>
      <c r="G238" s="14" t="n">
        <v>1443</v>
      </c>
      <c r="H238" s="14" t="n">
        <v>1637</v>
      </c>
      <c r="I238" s="14" t="n">
        <v>-194</v>
      </c>
      <c r="J238" s="15" t="n">
        <v>257.71</v>
      </c>
      <c r="K238" s="15" t="n">
        <v>255.77</v>
      </c>
      <c r="L238" s="17">
        <f>F238*(K238-J238)</f>
        <v/>
      </c>
    </row>
    <row r="239" ht="16.5" customHeight="1">
      <c r="D239" s="13" t="inlineStr">
        <is>
          <t>國巨*(2327)</t>
        </is>
      </c>
      <c r="E239" s="14" t="n">
        <v>24</v>
      </c>
      <c r="F239" s="14" t="n">
        <v>14</v>
      </c>
      <c r="G239" s="14" t="n">
        <v>1199</v>
      </c>
      <c r="H239" s="14" t="n">
        <v>703</v>
      </c>
      <c r="I239" s="14" t="n">
        <v>496</v>
      </c>
      <c r="J239" s="15" t="n">
        <v>499.54</v>
      </c>
      <c r="K239" s="15" t="n">
        <v>501.86</v>
      </c>
      <c r="L239" s="16">
        <f>F239*(K239-J239)</f>
        <v/>
      </c>
    </row>
    <row r="240" ht="16.5" customHeight="1">
      <c r="D240" s="13" t="inlineStr">
        <is>
          <t>新應材(4749)</t>
        </is>
      </c>
      <c r="E240" s="14" t="n">
        <v>11</v>
      </c>
      <c r="F240" s="14" t="n">
        <v>2</v>
      </c>
      <c r="G240" s="14" t="n">
        <v>1118</v>
      </c>
      <c r="H240" s="14" t="n">
        <v>151</v>
      </c>
      <c r="I240" s="14" t="n">
        <v>967</v>
      </c>
      <c r="J240" s="15" t="n">
        <v>1016.45</v>
      </c>
      <c r="K240" s="15" t="n">
        <v>755.5</v>
      </c>
      <c r="L240" s="17">
        <f>F240*(K240-J240)</f>
        <v/>
      </c>
    </row>
    <row r="241" ht="16.5" customHeight="1">
      <c r="D241" s="13" t="inlineStr">
        <is>
          <t>南亞科(2408)</t>
        </is>
      </c>
      <c r="E241" s="14" t="n">
        <v>37</v>
      </c>
      <c r="F241" s="14" t="n">
        <v>104</v>
      </c>
      <c r="G241" s="14" t="n">
        <v>1044</v>
      </c>
      <c r="H241" s="14" t="n">
        <v>2893</v>
      </c>
      <c r="I241" s="14" t="n">
        <v>-1849</v>
      </c>
      <c r="J241" s="15" t="n">
        <v>282.11</v>
      </c>
      <c r="K241" s="15" t="n">
        <v>278.15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1</v>
      </c>
      <c r="G242" s="14" t="n">
        <v>988</v>
      </c>
      <c r="H242" s="14" t="n">
        <v>2</v>
      </c>
      <c r="I242" s="14" t="n">
        <v>986</v>
      </c>
      <c r="J242" s="15" t="n">
        <v>3291.67</v>
      </c>
      <c r="K242" s="15" t="n">
        <v>16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58</v>
      </c>
      <c r="G279" s="14" t="n">
        <v>11754</v>
      </c>
      <c r="H279" s="14" t="n">
        <v>12700</v>
      </c>
      <c r="I279" s="14" t="n">
        <v>-946</v>
      </c>
      <c r="J279" s="15" t="n">
        <v>2217.66</v>
      </c>
      <c r="K279" s="15" t="n">
        <v>2189.71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44</v>
      </c>
      <c r="F280" s="14" t="n">
        <v>12</v>
      </c>
      <c r="G280" s="14" t="n">
        <v>10794</v>
      </c>
      <c r="H280" s="14" t="n">
        <v>2897</v>
      </c>
      <c r="I280" s="14" t="n">
        <v>7897</v>
      </c>
      <c r="J280" s="15" t="n">
        <v>2453.2</v>
      </c>
      <c r="K280" s="15" t="n">
        <v>2414.33</v>
      </c>
      <c r="L280" s="17">
        <f>F280*(K280-J280)</f>
        <v/>
      </c>
    </row>
    <row r="281" ht="16.5" customHeight="1">
      <c r="D281" s="13" t="inlineStr">
        <is>
          <t>華通(2313)</t>
        </is>
      </c>
      <c r="E281" s="14" t="n">
        <v>304</v>
      </c>
      <c r="F281" s="14" t="n">
        <v>399</v>
      </c>
      <c r="G281" s="14" t="n">
        <v>8070</v>
      </c>
      <c r="H281" s="14" t="n">
        <v>10486</v>
      </c>
      <c r="I281" s="14" t="n">
        <v>-2416</v>
      </c>
      <c r="J281" s="15" t="n">
        <v>265.45</v>
      </c>
      <c r="K281" s="15" t="n">
        <v>262.8</v>
      </c>
      <c r="L281" s="17">
        <f>F281*(K281-J281)</f>
        <v/>
      </c>
    </row>
    <row r="282" ht="16.5" customHeight="1">
      <c r="D282" s="13" t="inlineStr">
        <is>
          <t>南亞科(2408)</t>
        </is>
      </c>
      <c r="E282" s="14" t="n">
        <v>283</v>
      </c>
      <c r="F282" s="14" t="n">
        <v>372</v>
      </c>
      <c r="G282" s="14" t="n">
        <v>8016</v>
      </c>
      <c r="H282" s="14" t="n">
        <v>10297</v>
      </c>
      <c r="I282" s="14" t="n">
        <v>-2281</v>
      </c>
      <c r="J282" s="15" t="n">
        <v>283.24</v>
      </c>
      <c r="K282" s="15" t="n">
        <v>276.79</v>
      </c>
      <c r="L282" s="17">
        <f>F282*(K282-J282)</f>
        <v/>
      </c>
    </row>
    <row r="283" ht="16.5" customHeight="1">
      <c r="D283" s="13" t="inlineStr">
        <is>
          <t>群創(3481)</t>
        </is>
      </c>
      <c r="E283" s="14" t="n">
        <v>2074</v>
      </c>
      <c r="F283" s="14" t="n">
        <v>1023</v>
      </c>
      <c r="G283" s="14" t="n">
        <v>7880</v>
      </c>
      <c r="H283" s="14" t="n">
        <v>3889</v>
      </c>
      <c r="I283" s="14" t="n">
        <v>3991</v>
      </c>
      <c r="J283" s="15" t="n">
        <v>38</v>
      </c>
      <c r="K283" s="15" t="n">
        <v>38.01</v>
      </c>
      <c r="L283" s="16">
        <f>F283*(K283-J283)</f>
        <v/>
      </c>
    </row>
    <row r="284" ht="16.5" customHeight="1">
      <c r="D284" s="13" t="inlineStr">
        <is>
          <t>頎邦(6147)</t>
        </is>
      </c>
      <c r="E284" s="14" t="n">
        <v>358</v>
      </c>
      <c r="F284" s="14" t="n">
        <v>249</v>
      </c>
      <c r="G284" s="14" t="n">
        <v>7582</v>
      </c>
      <c r="H284" s="14" t="n">
        <v>5287</v>
      </c>
      <c r="I284" s="14" t="n">
        <v>2295</v>
      </c>
      <c r="J284" s="15" t="n">
        <v>211.79</v>
      </c>
      <c r="K284" s="15" t="n">
        <v>212.32</v>
      </c>
      <c r="L284" s="16">
        <f>F284*(K284-J284)</f>
        <v/>
      </c>
    </row>
    <row r="285" ht="16.5" customHeight="1">
      <c r="D285" s="13" t="inlineStr">
        <is>
          <t>臻鼎-KY(4958)</t>
        </is>
      </c>
      <c r="E285" s="14" t="n">
        <v>160</v>
      </c>
      <c r="F285" s="14" t="n">
        <v>72</v>
      </c>
      <c r="G285" s="14" t="n">
        <v>6573</v>
      </c>
      <c r="H285" s="14" t="n">
        <v>2938</v>
      </c>
      <c r="I285" s="14" t="n">
        <v>3635</v>
      </c>
      <c r="J285" s="15" t="n">
        <v>410.8</v>
      </c>
      <c r="K285" s="15" t="n">
        <v>408.11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24</v>
      </c>
      <c r="F286" s="14" t="n">
        <v>8</v>
      </c>
      <c r="G286" s="14" t="n">
        <v>4524</v>
      </c>
      <c r="H286" s="14" t="n">
        <v>1562</v>
      </c>
      <c r="I286" s="14" t="n">
        <v>2962</v>
      </c>
      <c r="J286" s="15" t="n">
        <v>1885.04</v>
      </c>
      <c r="K286" s="15" t="n">
        <v>1952.62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1302</v>
      </c>
      <c r="F299" s="14" t="n">
        <v>1331</v>
      </c>
      <c r="G299" s="14" t="n">
        <v>15107</v>
      </c>
      <c r="H299" s="14" t="n">
        <v>15633</v>
      </c>
      <c r="I299" s="14" t="n">
        <v>-526</v>
      </c>
      <c r="J299" s="15" t="n">
        <v>116.03</v>
      </c>
      <c r="K299" s="15" t="n">
        <v>117.45</v>
      </c>
      <c r="L299" s="16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</v>
      </c>
      <c r="G300" s="14" t="n">
        <v>5528</v>
      </c>
      <c r="H300" s="14" t="n">
        <v>93</v>
      </c>
      <c r="I300" s="14" t="n">
        <v>5435</v>
      </c>
      <c r="J300" s="15" t="n">
        <v>2211.2</v>
      </c>
      <c r="K300" s="15" t="n">
        <v>930</v>
      </c>
      <c r="L300" s="17">
        <f>F300*(K300-J300)</f>
        <v/>
      </c>
    </row>
    <row r="301" ht="16.5" customHeight="1">
      <c r="D301" s="13" t="inlineStr">
        <is>
          <t>同欣電(6271)</t>
        </is>
      </c>
      <c r="E301" s="14" t="n">
        <v>152</v>
      </c>
      <c r="F301" s="14" t="n">
        <v>0</v>
      </c>
      <c r="G301" s="14" t="n">
        <v>2798</v>
      </c>
      <c r="H301" s="14" t="n">
        <v>0</v>
      </c>
      <c r="I301" s="14" t="n">
        <v>2798</v>
      </c>
      <c r="J301" s="15" t="n">
        <v>184.11</v>
      </c>
      <c r="K301" s="15" t="n">
        <v>0</v>
      </c>
      <c r="L301" s="16">
        <f>F301*(K301-J301)</f>
        <v/>
      </c>
    </row>
    <row r="302" ht="16.5" customHeight="1">
      <c r="D302" s="13" t="inlineStr">
        <is>
          <t>聯發科(2454)</t>
        </is>
      </c>
      <c r="E302" s="14" t="n">
        <v>8</v>
      </c>
      <c r="F302" s="14" t="n">
        <v>16</v>
      </c>
      <c r="G302" s="14" t="n">
        <v>2493</v>
      </c>
      <c r="H302" s="14" t="n">
        <v>5200</v>
      </c>
      <c r="I302" s="14" t="n">
        <v>-2707</v>
      </c>
      <c r="J302" s="15" t="n">
        <v>3116.25</v>
      </c>
      <c r="K302" s="15" t="n">
        <v>3249.94</v>
      </c>
      <c r="L302" s="16">
        <f>F302*(K302-J302)</f>
        <v/>
      </c>
    </row>
    <row r="303" ht="16.5" customHeight="1">
      <c r="D303" s="13" t="inlineStr">
        <is>
          <t>台達電(2308)</t>
        </is>
      </c>
      <c r="E303" s="14" t="n">
        <v>12</v>
      </c>
      <c r="F303" s="14" t="n">
        <v>1</v>
      </c>
      <c r="G303" s="14" t="n">
        <v>2291</v>
      </c>
      <c r="H303" s="14" t="n">
        <v>224</v>
      </c>
      <c r="I303" s="14" t="n">
        <v>2067</v>
      </c>
      <c r="J303" s="15" t="n">
        <v>1909.42</v>
      </c>
      <c r="K303" s="15" t="n">
        <v>2242</v>
      </c>
      <c r="L303" s="16">
        <f>F303*(K303-J303)</f>
        <v/>
      </c>
    </row>
    <row r="304" ht="16.5" customHeight="1">
      <c r="D304" s="13" t="inlineStr">
        <is>
          <t>景碩(3189)</t>
        </is>
      </c>
      <c r="E304" s="14" t="n">
        <v>35</v>
      </c>
      <c r="F304" s="14" t="n">
        <v>22</v>
      </c>
      <c r="G304" s="14" t="n">
        <v>1812</v>
      </c>
      <c r="H304" s="14" t="n">
        <v>1103</v>
      </c>
      <c r="I304" s="14" t="n">
        <v>709</v>
      </c>
      <c r="J304" s="15" t="n">
        <v>517.83</v>
      </c>
      <c r="K304" s="15" t="n">
        <v>501.45</v>
      </c>
      <c r="L304" s="17">
        <f>F304*(K304-J304)</f>
        <v/>
      </c>
    </row>
    <row r="305" ht="16.5" customHeight="1">
      <c r="D305" s="13" t="inlineStr">
        <is>
          <t>啟��(6285)</t>
        </is>
      </c>
      <c r="E305" s="14" t="n">
        <v>61</v>
      </c>
      <c r="F305" s="14" t="n">
        <v>46</v>
      </c>
      <c r="G305" s="14" t="n">
        <v>1784</v>
      </c>
      <c r="H305" s="14" t="n">
        <v>1336</v>
      </c>
      <c r="I305" s="14" t="n">
        <v>448</v>
      </c>
      <c r="J305" s="15" t="n">
        <v>292.52</v>
      </c>
      <c r="K305" s="15" t="n">
        <v>290.52</v>
      </c>
      <c r="L305" s="17">
        <f>F305*(K305-J305)</f>
        <v/>
      </c>
    </row>
    <row r="306" ht="16.5" customHeight="1">
      <c r="D306" s="13" t="inlineStr">
        <is>
          <t>旺宏(2337)</t>
        </is>
      </c>
      <c r="E306" s="14" t="n">
        <v>106</v>
      </c>
      <c r="F306" s="14" t="n">
        <v>27</v>
      </c>
      <c r="G306" s="14" t="n">
        <v>1577</v>
      </c>
      <c r="H306" s="14" t="n">
        <v>403</v>
      </c>
      <c r="I306" s="14" t="n">
        <v>1174</v>
      </c>
      <c r="J306" s="15" t="n">
        <v>148.78</v>
      </c>
      <c r="K306" s="15" t="n">
        <v>149.22</v>
      </c>
      <c r="L306" s="16">
        <f>F306*(K306-J306)</f>
        <v/>
      </c>
    </row>
    <row r="307" ht="16.5" customHeight="1">
      <c r="D307" s="13" t="inlineStr">
        <is>
          <t>國巨*(2327)</t>
        </is>
      </c>
      <c r="E307" s="14" t="n">
        <v>29</v>
      </c>
      <c r="F307" s="14" t="n">
        <v>17</v>
      </c>
      <c r="G307" s="14" t="n">
        <v>1438</v>
      </c>
      <c r="H307" s="14" t="n">
        <v>821</v>
      </c>
      <c r="I307" s="14" t="n">
        <v>617</v>
      </c>
      <c r="J307" s="15" t="n">
        <v>495.97</v>
      </c>
      <c r="K307" s="15" t="n">
        <v>482.94</v>
      </c>
      <c r="L307" s="17">
        <f>F307*(K307-J307)</f>
        <v/>
      </c>
    </row>
    <row r="308" ht="16.5" customHeight="1">
      <c r="D308" s="13" t="inlineStr">
        <is>
          <t>頎邦(6147)</t>
        </is>
      </c>
      <c r="E308" s="14" t="n">
        <v>63</v>
      </c>
      <c r="F308" s="14" t="n">
        <v>35</v>
      </c>
      <c r="G308" s="14" t="n">
        <v>1348</v>
      </c>
      <c r="H308" s="14" t="n">
        <v>726</v>
      </c>
      <c r="I308" s="14" t="n">
        <v>622</v>
      </c>
      <c r="J308" s="15" t="n">
        <v>214.02</v>
      </c>
      <c r="K308" s="15" t="n">
        <v>207.57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華通(2313)</t>
        </is>
      </c>
      <c r="E319" s="14" t="n">
        <v>101</v>
      </c>
      <c r="F319" s="14" t="n">
        <v>155</v>
      </c>
      <c r="G319" s="14" t="n">
        <v>2686</v>
      </c>
      <c r="H319" s="14" t="n">
        <v>4100</v>
      </c>
      <c r="I319" s="14" t="n">
        <v>-1414</v>
      </c>
      <c r="J319" s="15" t="n">
        <v>265.95</v>
      </c>
      <c r="K319" s="15" t="n">
        <v>264.54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212</v>
      </c>
      <c r="F325" s="14" t="n">
        <v>225</v>
      </c>
      <c r="G325" s="14" t="n">
        <v>5823</v>
      </c>
      <c r="H325" s="14" t="n">
        <v>6172</v>
      </c>
      <c r="I325" s="14" t="n">
        <v>-349</v>
      </c>
      <c r="J325" s="15" t="n">
        <v>274.68</v>
      </c>
      <c r="K325" s="15" t="n">
        <v>274.3</v>
      </c>
      <c r="L325" s="17">
        <f>F325*(K325-J325)</f>
        <v/>
      </c>
    </row>
    <row r="326" ht="16.5" customHeight="1">
      <c r="D326" s="13" t="inlineStr">
        <is>
          <t>群創(3481)</t>
        </is>
      </c>
      <c r="E326" s="14" t="n">
        <v>1489</v>
      </c>
      <c r="F326" s="14" t="n">
        <v>1432</v>
      </c>
      <c r="G326" s="14" t="n">
        <v>5576</v>
      </c>
      <c r="H326" s="14" t="n">
        <v>5363</v>
      </c>
      <c r="I326" s="14" t="n">
        <v>213</v>
      </c>
      <c r="J326" s="15" t="n">
        <v>37.45</v>
      </c>
      <c r="K326" s="15" t="n">
        <v>37.45</v>
      </c>
      <c r="L326" s="16">
        <f>F326*(K326-J326)</f>
        <v/>
      </c>
    </row>
    <row r="327" ht="16.5" customHeight="1">
      <c r="D327" s="13" t="inlineStr">
        <is>
          <t>旺宏(2337)</t>
        </is>
      </c>
      <c r="E327" s="14" t="n">
        <v>311</v>
      </c>
      <c r="F327" s="14" t="n">
        <v>263</v>
      </c>
      <c r="G327" s="14" t="n">
        <v>4557</v>
      </c>
      <c r="H327" s="14" t="n">
        <v>3855</v>
      </c>
      <c r="I327" s="14" t="n">
        <v>702</v>
      </c>
      <c r="J327" s="15" t="n">
        <v>146.51</v>
      </c>
      <c r="K327" s="15" t="n">
        <v>146.59</v>
      </c>
      <c r="L327" s="16">
        <f>F327*(K327-J327)</f>
        <v/>
      </c>
    </row>
    <row r="328" ht="16.5" customHeight="1">
      <c r="D328" s="13" t="inlineStr">
        <is>
          <t>主動統一台股增長(00981A)</t>
        </is>
      </c>
      <c r="E328" s="14" t="n">
        <v>1328</v>
      </c>
      <c r="F328" s="14" t="n">
        <v>1232</v>
      </c>
      <c r="G328" s="14" t="n">
        <v>3651</v>
      </c>
      <c r="H328" s="14" t="n">
        <v>3387</v>
      </c>
      <c r="I328" s="14" t="n">
        <v>264</v>
      </c>
      <c r="J328" s="15" t="n">
        <v>27.49</v>
      </c>
      <c r="K328" s="15" t="n">
        <v>27.49</v>
      </c>
      <c r="L328" s="16">
        <f>F328*(K328-J328)</f>
        <v/>
      </c>
    </row>
    <row r="329" ht="16.5" customHeight="1">
      <c r="D329" s="13" t="inlineStr">
        <is>
          <t>蔚華科(3055)</t>
        </is>
      </c>
      <c r="E329" s="14" t="n">
        <v>267</v>
      </c>
      <c r="F329" s="14" t="n">
        <v>218</v>
      </c>
      <c r="G329" s="14" t="n">
        <v>3204</v>
      </c>
      <c r="H329" s="14" t="n">
        <v>2617</v>
      </c>
      <c r="I329" s="14" t="n">
        <v>587</v>
      </c>
      <c r="J329" s="15" t="n">
        <v>120.01</v>
      </c>
      <c r="K329" s="15" t="n">
        <v>120.06</v>
      </c>
      <c r="L329" s="16">
        <f>F329*(K329-J329)</f>
        <v/>
      </c>
    </row>
    <row r="330" ht="16.5" customHeight="1">
      <c r="D330" s="13" t="inlineStr">
        <is>
          <t>晶豪科(3006)</t>
        </is>
      </c>
      <c r="E330" s="14" t="n">
        <v>135</v>
      </c>
      <c r="F330" s="14" t="n">
        <v>160</v>
      </c>
      <c r="G330" s="14" t="n">
        <v>3196</v>
      </c>
      <c r="H330" s="14" t="n">
        <v>3786</v>
      </c>
      <c r="I330" s="14" t="n">
        <v>-590</v>
      </c>
      <c r="J330" s="15" t="n">
        <v>236.76</v>
      </c>
      <c r="K330" s="15" t="n">
        <v>236.59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微星(2377)</t>
        </is>
      </c>
      <c r="E349" s="14" t="n">
        <v>222</v>
      </c>
      <c r="F349" s="14" t="n">
        <v>266</v>
      </c>
      <c r="G349" s="14" t="n">
        <v>2500</v>
      </c>
      <c r="H349" s="14" t="n">
        <v>3014</v>
      </c>
      <c r="I349" s="14" t="n">
        <v>-514</v>
      </c>
      <c r="J349" s="15" t="n">
        <v>112.62</v>
      </c>
      <c r="K349" s="15" t="n">
        <v>113.3</v>
      </c>
      <c r="L349" s="16">
        <f>F349*(K349-J349)</f>
        <v/>
      </c>
    </row>
    <row r="350" ht="16.5" customHeight="1">
      <c r="D350" s="13" t="inlineStr">
        <is>
          <t>旺宏(2337)</t>
        </is>
      </c>
      <c r="E350" s="14" t="n">
        <v>168</v>
      </c>
      <c r="F350" s="14" t="n">
        <v>60</v>
      </c>
      <c r="G350" s="14" t="n">
        <v>2488</v>
      </c>
      <c r="H350" s="14" t="n">
        <v>890</v>
      </c>
      <c r="I350" s="14" t="n">
        <v>1598</v>
      </c>
      <c r="J350" s="15" t="n">
        <v>148.08</v>
      </c>
      <c r="K350" s="15" t="n">
        <v>148.33</v>
      </c>
      <c r="L350" s="16">
        <f>F350*(K350-J350)</f>
        <v/>
      </c>
    </row>
    <row r="351" ht="16.5" customHeight="1">
      <c r="D351" s="13" t="inlineStr">
        <is>
          <t>藥華藥(6446)</t>
        </is>
      </c>
      <c r="E351" s="14" t="n">
        <v>27</v>
      </c>
      <c r="F351" s="14" t="n">
        <v>18</v>
      </c>
      <c r="G351" s="14" t="n">
        <v>2188</v>
      </c>
      <c r="H351" s="14" t="n">
        <v>1447</v>
      </c>
      <c r="I351" s="14" t="n">
        <v>741</v>
      </c>
      <c r="J351" s="15" t="n">
        <v>810.5599999999999</v>
      </c>
      <c r="K351" s="15" t="n">
        <v>803.67</v>
      </c>
      <c r="L351" s="17">
        <f>F351*(K351-J351)</f>
        <v/>
      </c>
    </row>
    <row r="352" ht="16.5" customHeight="1">
      <c r="D352" s="13" t="inlineStr">
        <is>
          <t>技嘉(2376)</t>
        </is>
      </c>
      <c r="E352" s="14" t="n">
        <v>71</v>
      </c>
      <c r="F352" s="14" t="n">
        <v>53</v>
      </c>
      <c r="G352" s="14" t="n">
        <v>2153</v>
      </c>
      <c r="H352" s="14" t="n">
        <v>1626</v>
      </c>
      <c r="I352" s="14" t="n">
        <v>527</v>
      </c>
      <c r="J352" s="15" t="n">
        <v>303.21</v>
      </c>
      <c r="K352" s="15" t="n">
        <v>306.81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國巨*(2327)</t>
        </is>
      </c>
      <c r="E435" s="14" t="n">
        <v>153</v>
      </c>
      <c r="F435" s="14" t="n">
        <v>255</v>
      </c>
      <c r="G435" s="14" t="n">
        <v>7651</v>
      </c>
      <c r="H435" s="14" t="n">
        <v>12751</v>
      </c>
      <c r="I435" s="14" t="n">
        <v>-5100</v>
      </c>
      <c r="J435" s="15" t="n">
        <v>500.07</v>
      </c>
      <c r="K435" s="15" t="n">
        <v>500.05</v>
      </c>
      <c r="L435" s="17">
        <f>F435*(K435-J435)</f>
        <v/>
      </c>
    </row>
    <row r="436" ht="16.5" customHeight="1">
      <c r="D436" s="13" t="inlineStr">
        <is>
          <t>旺宏(2337)</t>
        </is>
      </c>
      <c r="E436" s="14" t="n">
        <v>460</v>
      </c>
      <c r="F436" s="14" t="n">
        <v>127</v>
      </c>
      <c r="G436" s="14" t="n">
        <v>6886</v>
      </c>
      <c r="H436" s="14" t="n">
        <v>1859</v>
      </c>
      <c r="I436" s="14" t="n">
        <v>5027</v>
      </c>
      <c r="J436" s="15" t="n">
        <v>149.69</v>
      </c>
      <c r="K436" s="15" t="n">
        <v>146.39</v>
      </c>
      <c r="L436" s="17">
        <f>F436*(K436-J436)</f>
        <v/>
      </c>
    </row>
    <row r="437" ht="16.5" customHeight="1">
      <c r="D437" s="13" t="inlineStr">
        <is>
          <t>昇達科(3491)</t>
        </is>
      </c>
      <c r="E437" s="14" t="n">
        <v>33</v>
      </c>
      <c r="F437" s="14" t="n">
        <v>27</v>
      </c>
      <c r="G437" s="14" t="n">
        <v>5806</v>
      </c>
      <c r="H437" s="14" t="n">
        <v>4679</v>
      </c>
      <c r="I437" s="14" t="n">
        <v>1127</v>
      </c>
      <c r="J437" s="15" t="n">
        <v>1759.45</v>
      </c>
      <c r="K437" s="15" t="n">
        <v>1732.81</v>
      </c>
      <c r="L437" s="17">
        <f>F437*(K437-J437)</f>
        <v/>
      </c>
    </row>
    <row r="438" ht="16.5" customHeight="1">
      <c r="D438" s="13" t="inlineStr">
        <is>
          <t>華邦電(2344)</t>
        </is>
      </c>
      <c r="E438" s="14" t="n">
        <v>427</v>
      </c>
      <c r="F438" s="14" t="n">
        <v>242</v>
      </c>
      <c r="G438" s="14" t="n">
        <v>5214</v>
      </c>
      <c r="H438" s="14" t="n">
        <v>2920</v>
      </c>
      <c r="I438" s="14" t="n">
        <v>2294</v>
      </c>
      <c r="J438" s="15" t="n">
        <v>122.1</v>
      </c>
      <c r="K438" s="15" t="n">
        <v>120.67</v>
      </c>
      <c r="L438" s="17">
        <f>F438*(K438-J438)</f>
        <v/>
      </c>
    </row>
    <row r="439" ht="16.5" customHeight="1">
      <c r="D439" s="13" t="inlineStr">
        <is>
          <t>元大台灣50正2(00631L)</t>
        </is>
      </c>
      <c r="E439" s="14" t="n">
        <v>1429</v>
      </c>
      <c r="F439" s="14" t="n">
        <v>692</v>
      </c>
      <c r="G439" s="14" t="n">
        <v>4315</v>
      </c>
      <c r="H439" s="14" t="n">
        <v>2093</v>
      </c>
      <c r="I439" s="14" t="n">
        <v>2222</v>
      </c>
      <c r="J439" s="15" t="n">
        <v>30.2</v>
      </c>
      <c r="K439" s="15" t="n">
        <v>30.25</v>
      </c>
      <c r="L439" s="16">
        <f>F439*(K439-J439)</f>
        <v/>
      </c>
    </row>
    <row r="440" ht="16.5" customHeight="1">
      <c r="D440" s="13" t="inlineStr">
        <is>
          <t>矽格(6257)</t>
        </is>
      </c>
      <c r="E440" s="14" t="n">
        <v>195</v>
      </c>
      <c r="F440" s="14" t="n">
        <v>262</v>
      </c>
      <c r="G440" s="14" t="n">
        <v>4198</v>
      </c>
      <c r="H440" s="14" t="n">
        <v>5610</v>
      </c>
      <c r="I440" s="14" t="n">
        <v>-1412</v>
      </c>
      <c r="J440" s="15" t="n">
        <v>215.26</v>
      </c>
      <c r="K440" s="15" t="n">
        <v>214.14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台積電(2330)</t>
        </is>
      </c>
      <c r="E443" s="14" t="n">
        <v>28</v>
      </c>
      <c r="F443" s="14" t="n">
        <v>88</v>
      </c>
      <c r="G443" s="14" t="n">
        <v>6176</v>
      </c>
      <c r="H443" s="14" t="n">
        <v>19372</v>
      </c>
      <c r="I443" s="14" t="n">
        <v>-13196</v>
      </c>
      <c r="J443" s="15" t="n">
        <v>2205.75</v>
      </c>
      <c r="K443" s="15" t="n">
        <v>2201.42</v>
      </c>
      <c r="L443" s="17">
        <f>F443*(K443-J443)</f>
        <v/>
      </c>
    </row>
    <row r="444" ht="16.5" customHeight="1">
      <c r="D444" s="13" t="inlineStr">
        <is>
          <t>精材(3374)</t>
        </is>
      </c>
      <c r="E444" s="14" t="n">
        <v>215</v>
      </c>
      <c r="F444" s="14" t="n">
        <v>45</v>
      </c>
      <c r="G444" s="14" t="n">
        <v>5306</v>
      </c>
      <c r="H444" s="14" t="n">
        <v>1081</v>
      </c>
      <c r="I444" s="14" t="n">
        <v>4225</v>
      </c>
      <c r="J444" s="15" t="n">
        <v>246.77</v>
      </c>
      <c r="K444" s="15" t="n">
        <v>240.24</v>
      </c>
      <c r="L444" s="17">
        <f>F444*(K444-J444)</f>
        <v/>
      </c>
    </row>
    <row r="445" ht="16.5" customHeight="1">
      <c r="D445" s="13" t="inlineStr">
        <is>
          <t>翔名(8091)</t>
        </is>
      </c>
      <c r="E445" s="14" t="n">
        <v>152</v>
      </c>
      <c r="F445" s="14" t="n">
        <v>202</v>
      </c>
      <c r="G445" s="14" t="n">
        <v>3888</v>
      </c>
      <c r="H445" s="14" t="n">
        <v>5275</v>
      </c>
      <c r="I445" s="14" t="n">
        <v>-1387</v>
      </c>
      <c r="J445" s="15" t="n">
        <v>255.8</v>
      </c>
      <c r="K445" s="15" t="n">
        <v>261.15</v>
      </c>
      <c r="L445" s="16">
        <f>F445*(K445-J445)</f>
        <v/>
      </c>
    </row>
    <row r="446" ht="16.5" customHeight="1">
      <c r="D446" s="13" t="inlineStr">
        <is>
          <t>旺宏(2337)</t>
        </is>
      </c>
      <c r="E446" s="14" t="n">
        <v>246</v>
      </c>
      <c r="F446" s="14" t="n">
        <v>24</v>
      </c>
      <c r="G446" s="14" t="n">
        <v>3648</v>
      </c>
      <c r="H446" s="14" t="n">
        <v>357</v>
      </c>
      <c r="I446" s="14" t="n">
        <v>3291</v>
      </c>
      <c r="J446" s="15" t="n">
        <v>148.28</v>
      </c>
      <c r="K446" s="15" t="n">
        <v>148.71</v>
      </c>
      <c r="L446" s="16">
        <f>F446*(K446-J446)</f>
        <v/>
      </c>
    </row>
    <row r="447" ht="16.5" customHeight="1">
      <c r="D447" s="13" t="inlineStr">
        <is>
          <t>南亞科(2408)</t>
        </is>
      </c>
      <c r="E447" s="14" t="n">
        <v>126</v>
      </c>
      <c r="F447" s="14" t="n">
        <v>177</v>
      </c>
      <c r="G447" s="14" t="n">
        <v>3607</v>
      </c>
      <c r="H447" s="14" t="n">
        <v>4937</v>
      </c>
      <c r="I447" s="14" t="n">
        <v>-1330</v>
      </c>
      <c r="J447" s="15" t="n">
        <v>286.27</v>
      </c>
      <c r="K447" s="15" t="n">
        <v>278.93</v>
      </c>
      <c r="L447" s="17">
        <f>F447*(K447-J447)</f>
        <v/>
      </c>
    </row>
    <row r="448" ht="16.5" customHeight="1">
      <c r="D448" s="13" t="inlineStr">
        <is>
          <t>華通(2313)</t>
        </is>
      </c>
      <c r="E448" s="14" t="n">
        <v>119</v>
      </c>
      <c r="F448" s="14" t="n">
        <v>100</v>
      </c>
      <c r="G448" s="14" t="n">
        <v>3058</v>
      </c>
      <c r="H448" s="14" t="n">
        <v>2552</v>
      </c>
      <c r="I448" s="14" t="n">
        <v>506</v>
      </c>
      <c r="J448" s="15" t="n">
        <v>256.97</v>
      </c>
      <c r="K448" s="15" t="n">
        <v>255.21</v>
      </c>
      <c r="L448" s="17">
        <f>F448*(K448-J448)</f>
        <v/>
      </c>
    </row>
    <row r="449" ht="16.5" customHeight="1">
      <c r="D449" s="13" t="inlineStr">
        <is>
          <t>群創(3481)</t>
        </is>
      </c>
      <c r="E449" s="14" t="n">
        <v>714</v>
      </c>
      <c r="F449" s="14" t="n">
        <v>482</v>
      </c>
      <c r="G449" s="14" t="n">
        <v>2717</v>
      </c>
      <c r="H449" s="14" t="n">
        <v>1829</v>
      </c>
      <c r="I449" s="14" t="n">
        <v>888</v>
      </c>
      <c r="J449" s="15" t="n">
        <v>38.06</v>
      </c>
      <c r="K449" s="15" t="n">
        <v>37.94</v>
      </c>
      <c r="L449" s="17">
        <f>F449*(K449-J449)</f>
        <v/>
      </c>
    </row>
    <row r="450" ht="16.5" customHeight="1">
      <c r="D450" s="13" t="inlineStr">
        <is>
          <t>華邦電(2344)</t>
        </is>
      </c>
      <c r="E450" s="14" t="n">
        <v>213</v>
      </c>
      <c r="F450" s="14" t="n">
        <v>45</v>
      </c>
      <c r="G450" s="14" t="n">
        <v>2564</v>
      </c>
      <c r="H450" s="14" t="n">
        <v>542</v>
      </c>
      <c r="I450" s="14" t="n">
        <v>2022</v>
      </c>
      <c r="J450" s="15" t="n">
        <v>120.36</v>
      </c>
      <c r="K450" s="15" t="n">
        <v>120.47</v>
      </c>
      <c r="L450" s="16">
        <f>F450*(K450-J450)</f>
        <v/>
      </c>
    </row>
    <row r="451" ht="16.5" customHeight="1">
      <c r="D451" s="13" t="inlineStr">
        <is>
          <t>台達電(2308)</t>
        </is>
      </c>
      <c r="E451" s="14" t="n">
        <v>9</v>
      </c>
      <c r="F451" s="14" t="n">
        <v>1</v>
      </c>
      <c r="G451" s="14" t="n">
        <v>1764</v>
      </c>
      <c r="H451" s="14" t="n">
        <v>221</v>
      </c>
      <c r="I451" s="14" t="n">
        <v>1543</v>
      </c>
      <c r="J451" s="15" t="n">
        <v>1959.67</v>
      </c>
      <c r="K451" s="15" t="n">
        <v>2206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323</v>
      </c>
      <c r="F455" s="14" t="n">
        <v>358</v>
      </c>
      <c r="G455" s="14" t="n">
        <v>8872</v>
      </c>
      <c r="H455" s="14" t="n">
        <v>9817</v>
      </c>
      <c r="I455" s="14" t="n">
        <v>-945</v>
      </c>
      <c r="J455" s="15" t="n">
        <v>274.69</v>
      </c>
      <c r="K455" s="15" t="n">
        <v>274.23</v>
      </c>
      <c r="L455" s="17">
        <f>F455*(K455-J455)</f>
        <v/>
      </c>
    </row>
    <row r="456" ht="16.5" customHeight="1">
      <c r="D456" s="13" t="inlineStr">
        <is>
          <t>台達電(2308)</t>
        </is>
      </c>
      <c r="E456" s="14" t="n">
        <v>37</v>
      </c>
      <c r="F456" s="14" t="n">
        <v>14</v>
      </c>
      <c r="G456" s="14" t="n">
        <v>6999</v>
      </c>
      <c r="H456" s="14" t="n">
        <v>2681</v>
      </c>
      <c r="I456" s="14" t="n">
        <v>4318</v>
      </c>
      <c r="J456" s="15" t="n">
        <v>1891.51</v>
      </c>
      <c r="K456" s="15" t="n">
        <v>1914.79</v>
      </c>
      <c r="L456" s="16">
        <f>F456*(K456-J456)</f>
        <v/>
      </c>
    </row>
    <row r="457" ht="16.5" customHeight="1">
      <c r="D457" s="13" t="inlineStr">
        <is>
          <t>華邦電(2344)</t>
        </is>
      </c>
      <c r="E457" s="14" t="n">
        <v>545</v>
      </c>
      <c r="F457" s="14" t="n">
        <v>604</v>
      </c>
      <c r="G457" s="14" t="n">
        <v>6399</v>
      </c>
      <c r="H457" s="14" t="n">
        <v>7099</v>
      </c>
      <c r="I457" s="14" t="n">
        <v>-700</v>
      </c>
      <c r="J457" s="15" t="n">
        <v>117.41</v>
      </c>
      <c r="K457" s="15" t="n">
        <v>117.54</v>
      </c>
      <c r="L457" s="16">
        <f>F457*(K457-J457)</f>
        <v/>
      </c>
    </row>
    <row r="458" ht="16.5" customHeight="1">
      <c r="D458" s="13" t="inlineStr">
        <is>
          <t>聯電(2303)</t>
        </is>
      </c>
      <c r="E458" s="14" t="n">
        <v>511</v>
      </c>
      <c r="F458" s="14" t="n">
        <v>817</v>
      </c>
      <c r="G458" s="14" t="n">
        <v>5905</v>
      </c>
      <c r="H458" s="14" t="n">
        <v>9496</v>
      </c>
      <c r="I458" s="14" t="n">
        <v>-3591</v>
      </c>
      <c r="J458" s="15" t="n">
        <v>115.56</v>
      </c>
      <c r="K458" s="15" t="n">
        <v>116.23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70</v>
      </c>
      <c r="F459" s="14" t="n">
        <v>49</v>
      </c>
      <c r="G459" s="14" t="n">
        <v>5691</v>
      </c>
      <c r="H459" s="14" t="n">
        <v>4002</v>
      </c>
      <c r="I459" s="14" t="n">
        <v>1689</v>
      </c>
      <c r="J459" s="15" t="n">
        <v>813.0599999999999</v>
      </c>
      <c r="K459" s="15" t="n">
        <v>816.67</v>
      </c>
      <c r="L459" s="16">
        <f>F459*(K459-J459)</f>
        <v/>
      </c>
    </row>
    <row r="460" ht="16.5" customHeight="1">
      <c r="D460" s="13" t="inlineStr">
        <is>
          <t>翔名(8091)</t>
        </is>
      </c>
      <c r="E460" s="14" t="n">
        <v>216</v>
      </c>
      <c r="F460" s="14" t="n">
        <v>2</v>
      </c>
      <c r="G460" s="14" t="n">
        <v>5606</v>
      </c>
      <c r="H460" s="14" t="n">
        <v>55</v>
      </c>
      <c r="I460" s="14" t="n">
        <v>5551</v>
      </c>
      <c r="J460" s="15" t="n">
        <v>259.56</v>
      </c>
      <c r="K460" s="15" t="n">
        <v>275.5</v>
      </c>
      <c r="L460" s="16">
        <f>F460*(K460-J460)</f>
        <v/>
      </c>
    </row>
    <row r="461" ht="16.5" customHeight="1">
      <c r="D461" s="13" t="inlineStr">
        <is>
          <t>旺宏(2337)</t>
        </is>
      </c>
      <c r="E461" s="14" t="n">
        <v>362</v>
      </c>
      <c r="F461" s="14" t="n">
        <v>259</v>
      </c>
      <c r="G461" s="14" t="n">
        <v>5363</v>
      </c>
      <c r="H461" s="14" t="n">
        <v>3804</v>
      </c>
      <c r="I461" s="14" t="n">
        <v>1559</v>
      </c>
      <c r="J461" s="15" t="n">
        <v>148.16</v>
      </c>
      <c r="K461" s="15" t="n">
        <v>146.86</v>
      </c>
      <c r="L461" s="17">
        <f>F461*(K461-J461)</f>
        <v/>
      </c>
    </row>
    <row r="462" ht="16.5" customHeight="1">
      <c r="D462" s="13" t="inlineStr">
        <is>
          <t>世界(5347)</t>
        </is>
      </c>
      <c r="E462" s="14" t="n">
        <v>334</v>
      </c>
      <c r="F462" s="14" t="n">
        <v>278</v>
      </c>
      <c r="G462" s="14" t="n">
        <v>5266</v>
      </c>
      <c r="H462" s="14" t="n">
        <v>4386</v>
      </c>
      <c r="I462" s="14" t="n">
        <v>880</v>
      </c>
      <c r="J462" s="15" t="n">
        <v>157.66</v>
      </c>
      <c r="K462" s="15" t="n">
        <v>157.76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2026-05-19T13:31:16Z</dcterms:modified>
</cp:coreProperties>
</file>