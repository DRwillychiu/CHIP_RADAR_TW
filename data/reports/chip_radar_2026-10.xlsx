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</numFmts>
  <fonts count="5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領頭大戶「陳律師」獨佔比 56.8%
  • 領頭金額 15,983 萬
  • 合計淨買 28,142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14 位大戶)</t>
        </is>
      </c>
    </row>
    <row r="3" ht="24" customHeight="1">
      <c r="B3" s="2" t="inlineStr">
        <is>
          <t>🎯 5 強共識 / Q5 ↕ 中性 46.5% / E 5 異常 / F 6 長期 / J 0 集中 / H 4 借券壓力</t>
        </is>
      </c>
    </row>
    <row r="4" ht="22" customHeight="1">
      <c r="B4" s="3" t="inlineStr">
        <is>
          <t>💡 📌 一般共識 3481 / 2409 / 2883 (Q5 中性, 中性信號)  |  避開 — 除權息 2 檔: 2323, 9927 | 明日恐處置 3 檔: 3625/4304/4971  |  訊號: 中性但 hot 多 (15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43.7% = -4.9pp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24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2 (40%)  |  水泥工業 1 (20%)  |  金融保險業 1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3481</t>
        </is>
      </c>
      <c r="D16" t="inlineStr">
        <is>
          <t>📌 群創</t>
        </is>
      </c>
      <c r="E16" s="14" t="n">
        <v>11</v>
      </c>
      <c r="F16" s="15" t="n">
        <v>24</v>
      </c>
      <c r="G16" s="16" t="inlineStr">
        <is>
          <t>全村希望資本_村長</t>
        </is>
      </c>
      <c r="H16" s="17" t="n">
        <v>10038</v>
      </c>
      <c r="I16" t="inlineStr">
        <is>
          <t>張濬安</t>
        </is>
      </c>
      <c r="J16" s="18" t="n">
        <v>8002</v>
      </c>
      <c r="K16" t="inlineStr">
        <is>
          <t>陳族元</t>
        </is>
      </c>
      <c r="L16" s="18" t="n">
        <v>4918</v>
      </c>
      <c r="M16" s="19" t="n">
        <v>8</v>
      </c>
      <c r="N16" s="17" t="n">
        <v>38084</v>
      </c>
    </row>
    <row r="17">
      <c r="B17" s="13" t="n">
        <v>2</v>
      </c>
      <c r="C17" t="inlineStr">
        <is>
          <t>2409</t>
        </is>
      </c>
      <c r="D17" t="inlineStr">
        <is>
          <t>📌 友達</t>
        </is>
      </c>
      <c r="E17" s="14" t="n">
        <v>11</v>
      </c>
      <c r="F17" s="15" t="n">
        <v>26</v>
      </c>
      <c r="G17" s="16" t="inlineStr">
        <is>
          <t>強森</t>
        </is>
      </c>
      <c r="H17" s="17" t="n">
        <v>7322</v>
      </c>
      <c r="I17" t="inlineStr">
        <is>
          <t>全村希望資本_村長</t>
        </is>
      </c>
      <c r="J17" s="18" t="n">
        <v>6324</v>
      </c>
      <c r="K17" t="inlineStr">
        <is>
          <t>張濬安</t>
        </is>
      </c>
      <c r="L17" s="18" t="n">
        <v>4853</v>
      </c>
      <c r="M17" s="19" t="n">
        <v>8</v>
      </c>
      <c r="N17" s="17" t="n">
        <v>30918</v>
      </c>
    </row>
    <row r="18">
      <c r="B18" s="13" t="n">
        <v>3</v>
      </c>
      <c r="C18" t="inlineStr">
        <is>
          <t>2883</t>
        </is>
      </c>
      <c r="D18" s="20" t="inlineStr">
        <is>
          <t>📌 ⚠️ 凱基金</t>
        </is>
      </c>
      <c r="E18" s="14" t="n">
        <v>12</v>
      </c>
      <c r="F18" s="15" t="n">
        <v>26</v>
      </c>
      <c r="G18" s="16" t="inlineStr">
        <is>
          <t>陳律師</t>
        </is>
      </c>
      <c r="H18" s="17" t="n">
        <v>15984</v>
      </c>
      <c r="I18" t="inlineStr">
        <is>
          <t>張濬安</t>
        </is>
      </c>
      <c r="J18" s="18" t="n">
        <v>2100</v>
      </c>
      <c r="K18" t="inlineStr">
        <is>
          <t>全村希望資本_村長</t>
        </is>
      </c>
      <c r="L18" s="18" t="n">
        <v>2079</v>
      </c>
      <c r="M18" s="19" t="n">
        <v>9</v>
      </c>
      <c r="N18" s="17" t="n">
        <v>28142</v>
      </c>
    </row>
    <row r="19">
      <c r="B19" t="n">
        <v>4</v>
      </c>
      <c r="C19" t="inlineStr">
        <is>
          <t>6223</t>
        </is>
      </c>
      <c r="D19" t="inlineStr">
        <is>
          <t>📌 旺矽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2367</v>
      </c>
      <c r="I19" t="inlineStr">
        <is>
          <t>蔣承翰</t>
        </is>
      </c>
      <c r="J19" s="18" t="n">
        <v>1576</v>
      </c>
      <c r="K19" t="inlineStr">
        <is>
          <t>竹科主力分點</t>
        </is>
      </c>
      <c r="L19" s="18" t="n">
        <v>1364</v>
      </c>
      <c r="M19" s="19" t="n">
        <v>7</v>
      </c>
      <c r="N19" s="17" t="n">
        <v>10992</v>
      </c>
    </row>
    <row r="20">
      <c r="B20" t="n">
        <v>5</v>
      </c>
      <c r="C20" t="inlineStr">
        <is>
          <t>1101</t>
        </is>
      </c>
      <c r="D20" t="inlineStr">
        <is>
          <t>📌 台泥</t>
        </is>
      </c>
      <c r="E20" s="14" t="n">
        <v>10</v>
      </c>
      <c r="F20" s="15" t="n">
        <v>21</v>
      </c>
      <c r="G20" s="16" t="inlineStr">
        <is>
          <t>強森</t>
        </is>
      </c>
      <c r="H20" s="17" t="n">
        <v>1320</v>
      </c>
      <c r="I20" t="inlineStr">
        <is>
          <t>全村希望資本_村長</t>
        </is>
      </c>
      <c r="J20" s="18" t="n">
        <v>1204</v>
      </c>
      <c r="K20" t="inlineStr">
        <is>
          <t>張濬安</t>
        </is>
      </c>
      <c r="L20" s="18" t="n">
        <v>823</v>
      </c>
      <c r="M20" s="19" t="n">
        <v>7</v>
      </c>
      <c r="N20" s="17" t="n">
        <v>5755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225" t="n">
        <v>0.9285714285714286</v>
      </c>
      <c r="F23" s="22" t="inlineStr">
        <is>
          <t>Q2 淨買差</t>
        </is>
      </c>
      <c r="G23" s="226" t="n">
        <v>-111.07462</v>
      </c>
    </row>
    <row r="24" ht="28" customHeight="1">
      <c r="B24" s="22" t="inlineStr">
        <is>
          <t>Q3 強共識股</t>
        </is>
      </c>
      <c r="C24" s="227" t="n">
        <v>5</v>
      </c>
      <c r="F24" s="22" t="inlineStr">
        <is>
          <t>Q4 追蹤佔比</t>
        </is>
      </c>
      <c r="G24" s="228" t="n">
        <v>0.1984739597769153</v>
      </c>
    </row>
    <row r="25" ht="22" customHeight="1">
      <c r="B25" s="229" t="n">
        <v>46.5</v>
      </c>
    </row>
    <row r="26" ht="18" customHeight="1">
      <c r="B26" s="230" t="inlineStr">
        <is>
          <t>✅ 過去 30 天 P/C 命中率: 偏多 15/22 (68%) | 偏空 0/2 (0%) | 整體 15/24 (62%)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張濬安(航海王)</t>
        </is>
      </c>
      <c r="D30" s="33" t="n">
        <v>1477148</v>
      </c>
      <c r="E30" t="inlineStr">
        <is>
          <t>30.4%</t>
        </is>
      </c>
      <c r="F30" t="n">
        <v>1</v>
      </c>
      <c r="G30" s="16" t="inlineStr">
        <is>
          <t>國巨*(2327)</t>
        </is>
      </c>
      <c r="H30" s="33" t="n">
        <v>385025</v>
      </c>
      <c r="I30" s="231" t="n">
        <v>0.09849999999999999</v>
      </c>
    </row>
    <row r="31">
      <c r="B31" t="n">
        <v>2</v>
      </c>
      <c r="C31" s="35" t="inlineStr">
        <is>
          <t>陳族元</t>
        </is>
      </c>
      <c r="D31" s="33" t="n">
        <v>1254876</v>
      </c>
      <c r="E31" t="inlineStr">
        <is>
          <t>25.8%</t>
        </is>
      </c>
      <c r="F31" t="n">
        <v>2</v>
      </c>
      <c r="G31" s="16" t="inlineStr">
        <is>
          <t>台積電(2330)</t>
        </is>
      </c>
      <c r="H31" s="33" t="n">
        <v>251973</v>
      </c>
      <c r="I31" s="231" t="n">
        <v>0.0121</v>
      </c>
    </row>
    <row r="32">
      <c r="B32" t="n">
        <v>3</v>
      </c>
      <c r="C32" s="36" t="inlineStr">
        <is>
          <t>陳律師</t>
        </is>
      </c>
      <c r="D32" s="33" t="n">
        <v>515552</v>
      </c>
      <c r="E32" t="inlineStr">
        <is>
          <t>10.6%</t>
        </is>
      </c>
      <c r="F32" t="n">
        <v>3</v>
      </c>
      <c r="G32" s="16" t="inlineStr">
        <is>
          <t>環球晶(6488)</t>
        </is>
      </c>
      <c r="H32" s="33" t="n">
        <v>183735</v>
      </c>
      <c r="I32" s="231" t="n">
        <v>0.0483</v>
      </c>
    </row>
    <row r="33">
      <c r="B33" t="n">
        <v>4</v>
      </c>
      <c r="C33" s="37" t="inlineStr">
        <is>
          <t>林滄海</t>
        </is>
      </c>
      <c r="D33" s="33" t="n">
        <v>353063</v>
      </c>
      <c r="E33" t="inlineStr">
        <is>
          <t>7.3%</t>
        </is>
      </c>
      <c r="F33" t="n">
        <v>4</v>
      </c>
      <c r="G33" s="16" t="inlineStr">
        <is>
          <t>聯電(2303)</t>
        </is>
      </c>
      <c r="H33" s="33" t="n">
        <v>96788</v>
      </c>
      <c r="I33" s="231" t="n">
        <v>0.0453</v>
      </c>
    </row>
    <row r="34">
      <c r="B34" t="n">
        <v>5</v>
      </c>
      <c r="C34" s="38" t="inlineStr">
        <is>
          <t>強森</t>
        </is>
      </c>
      <c r="D34" s="33" t="n">
        <v>343966</v>
      </c>
      <c r="E34" t="inlineStr">
        <is>
          <t>7.1%</t>
        </is>
      </c>
      <c r="F34" t="n">
        <v>5</v>
      </c>
      <c r="G34" s="16" t="inlineStr">
        <is>
          <t>景碩(3189)</t>
        </is>
      </c>
      <c r="H34" s="33" t="n">
        <v>95733</v>
      </c>
      <c r="I34" s="231" t="n">
        <v>0.0412</v>
      </c>
    </row>
    <row r="37" ht="22" customHeight="1">
      <c r="B37" s="39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大牌分析師</t>
        </is>
      </c>
      <c r="D39" t="inlineStr">
        <is>
          <t>medium</t>
        </is>
      </c>
      <c r="E39" t="inlineStr">
        <is>
          <t>大牌分析師 今日買進 4 檔新標的 (過去從沒買過)</t>
        </is>
      </c>
      <c r="F39" t="inlineStr">
        <is>
          <t>4 檔</t>
        </is>
      </c>
    </row>
    <row r="40">
      <c r="B40" s="40" t="inlineStr">
        <is>
          <t>🆕 新標的</t>
        </is>
      </c>
      <c r="C40" s="40" t="inlineStr">
        <is>
          <t>蔣承翰</t>
        </is>
      </c>
      <c r="D40" s="40" t="inlineStr">
        <is>
          <t>medium</t>
        </is>
      </c>
      <c r="E40" s="40" t="inlineStr">
        <is>
          <t>蔣承翰 今日買進 4 檔新標的 (過去從沒買過)</t>
        </is>
      </c>
      <c r="F40" s="40" t="inlineStr">
        <is>
          <t>4 檔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medium</t>
        </is>
      </c>
      <c r="E41" t="inlineStr">
        <is>
          <t>Tradow 今日買進 3 檔新標的 (過去從沒買過)</t>
        </is>
      </c>
      <c r="F41" t="inlineStr">
        <is>
          <t>3 檔</t>
        </is>
      </c>
    </row>
    <row r="42">
      <c r="B42" s="40" t="inlineStr">
        <is>
          <t>🆕 新標的</t>
        </is>
      </c>
      <c r="C42" s="40" t="inlineStr">
        <is>
          <t>布哥/n_nchang</t>
        </is>
      </c>
      <c r="D42" s="40" t="inlineStr">
        <is>
          <t>medium</t>
        </is>
      </c>
      <c r="E42" s="40" t="inlineStr">
        <is>
          <t>布哥/n_nchang 今日買進 3 檔新標的 (過去從沒買過)</t>
        </is>
      </c>
      <c r="F42" s="40" t="inlineStr">
        <is>
          <t>3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medium</t>
        </is>
      </c>
      <c r="E43" t="inlineStr">
        <is>
          <t>張濬安(航海王) 今日買進 3 檔新標的 (過去從沒買過)</t>
        </is>
      </c>
      <c r="F43" t="inlineStr">
        <is>
          <t>3 檔</t>
        </is>
      </c>
    </row>
    <row r="45" ht="22" customHeight="1">
      <c r="B45" s="43" t="inlineStr">
        <is>
          <t>▍ F. 跨日連續囤貨 Top 30 (按連續天數排序)</t>
        </is>
      </c>
    </row>
    <row r="46">
      <c r="B46" s="44" t="inlineStr">
        <is>
          <t>Master</t>
        </is>
      </c>
      <c r="C46" s="44" t="inlineStr">
        <is>
          <t>股票代號</t>
        </is>
      </c>
      <c r="D46" s="44" t="inlineStr">
        <is>
          <t>連續天數</t>
        </is>
      </c>
      <c r="E46" s="44" t="inlineStr">
        <is>
          <t>累計買金額(萬)</t>
        </is>
      </c>
      <c r="F46" s="44" t="inlineStr">
        <is>
          <t>說明</t>
        </is>
      </c>
    </row>
    <row r="47">
      <c r="B47" t="inlineStr">
        <is>
          <t>🔴 強森</t>
        </is>
      </c>
      <c r="C47" t="inlineStr">
        <is>
          <t>6669</t>
        </is>
      </c>
      <c r="D47" s="45" t="n">
        <v>39</v>
      </c>
      <c r="E47" t="n">
        <v>235606</v>
      </c>
      <c r="F47" t="inlineStr">
        <is>
          <t>強森 連續 39 天加碼 6669 (累計 235,606 萬)</t>
        </is>
      </c>
    </row>
    <row r="48">
      <c r="B48" s="40" t="inlineStr">
        <is>
          <t>🔴 陳族元</t>
        </is>
      </c>
      <c r="C48" s="40" t="inlineStr">
        <is>
          <t>2308</t>
        </is>
      </c>
      <c r="D48" s="46" t="n">
        <v>31</v>
      </c>
      <c r="E48" s="40" t="n">
        <v>1082336</v>
      </c>
      <c r="F48" s="40" t="inlineStr">
        <is>
          <t>陳族元 連續 31 天加碼 2308 (累計 1,082,336 萬)</t>
        </is>
      </c>
    </row>
    <row r="49">
      <c r="B49" t="inlineStr">
        <is>
          <t>🔴 張濬安(航海王)</t>
        </is>
      </c>
      <c r="C49" t="inlineStr">
        <is>
          <t>2303</t>
        </is>
      </c>
      <c r="D49" s="45" t="n">
        <v>27</v>
      </c>
      <c r="E49" t="n">
        <v>1402250</v>
      </c>
      <c r="F49" t="inlineStr">
        <is>
          <t>張濬安(航海王) 連續 27 天加碼 2303 (累計 1,402,250 萬)</t>
        </is>
      </c>
    </row>
    <row r="50">
      <c r="B50" s="40" t="inlineStr">
        <is>
          <t>🔴 強森</t>
        </is>
      </c>
      <c r="C50" s="40" t="inlineStr">
        <is>
          <t>2454</t>
        </is>
      </c>
      <c r="D50" s="46" t="n">
        <v>27</v>
      </c>
      <c r="E50" s="40" t="n">
        <v>621081</v>
      </c>
      <c r="F50" s="40" t="inlineStr">
        <is>
          <t>強森 連續 27 天加碼 2454 (累計 621,081 萬)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45" t="n">
        <v>26</v>
      </c>
      <c r="E51" t="n">
        <v>810071</v>
      </c>
      <c r="F51" t="inlineStr">
        <is>
          <t>張濬安(航海王) 連續 26 天加碼 2327 (累計 810,071 萬)</t>
        </is>
      </c>
    </row>
    <row r="52">
      <c r="B52" s="40" t="inlineStr">
        <is>
          <t>🔴 迷你哥/松山哥</t>
        </is>
      </c>
      <c r="C52" s="40" t="inlineStr">
        <is>
          <t>1303</t>
        </is>
      </c>
      <c r="D52" s="46" t="n">
        <v>25</v>
      </c>
      <c r="E52" s="40" t="n">
        <v>1539366</v>
      </c>
      <c r="F52" s="40" t="inlineStr">
        <is>
          <t>迷你哥/松山哥 連續 25 天加碼 1303 (累計 1,539,366 萬)</t>
        </is>
      </c>
    </row>
    <row r="54" ht="22" customHeight="1">
      <c r="B54" s="47" t="inlineStr">
        <is>
          <t>▍ J. Master × Top 3 個股 cross-table (今日)</t>
        </is>
      </c>
    </row>
    <row r="55">
      <c r="B55" s="48" t="inlineStr">
        <is>
          <t>Master</t>
        </is>
      </c>
      <c r="C55" s="48" t="inlineStr">
        <is>
          <t>今日總買(萬)</t>
        </is>
      </c>
      <c r="D55" s="48" t="inlineStr">
        <is>
          <t>Top1 個股</t>
        </is>
      </c>
      <c r="E55" s="48" t="inlineStr">
        <is>
          <t>Top1 金額</t>
        </is>
      </c>
      <c r="F55" s="48" t="inlineStr">
        <is>
          <t>Top2 個股</t>
        </is>
      </c>
      <c r="G55" s="48" t="inlineStr">
        <is>
          <t>Top2 金額</t>
        </is>
      </c>
      <c r="H55" s="48" t="inlineStr">
        <is>
          <t>Top3 個股</t>
        </is>
      </c>
      <c r="I55" s="48" t="inlineStr">
        <is>
          <t>Top3 金額</t>
        </is>
      </c>
      <c r="J55" s="48" t="inlineStr">
        <is>
          <t>Top3 合計%</t>
        </is>
      </c>
    </row>
    <row r="56">
      <c r="B56" s="32" t="inlineStr">
        <is>
          <t>張濬安(航海王)</t>
        </is>
      </c>
      <c r="C56" s="33" t="n">
        <v>1267652</v>
      </c>
      <c r="D56" t="inlineStr">
        <is>
          <t>台積電(2330)</t>
        </is>
      </c>
      <c r="E56" s="33" t="n">
        <v>100935</v>
      </c>
      <c r="F56" t="inlineStr">
        <is>
          <t>國巨*(2327)</t>
        </is>
      </c>
      <c r="G56" s="33" t="n">
        <v>100630</v>
      </c>
      <c r="H56" t="inlineStr">
        <is>
          <t>南電(8046)</t>
        </is>
      </c>
      <c r="I56" s="33" t="n">
        <v>90585</v>
      </c>
      <c r="J56" s="232" t="n">
        <v>0.230465070708658</v>
      </c>
    </row>
    <row r="57">
      <c r="B57" s="35" t="inlineStr">
        <is>
          <t>陳族元</t>
        </is>
      </c>
      <c r="C57" s="33" t="n">
        <v>1176227</v>
      </c>
      <c r="D57" t="inlineStr">
        <is>
          <t>國巨*(2327)</t>
        </is>
      </c>
      <c r="E57" s="33" t="n">
        <v>227164</v>
      </c>
      <c r="F57" t="inlineStr">
        <is>
          <t>台積電(2330)</t>
        </is>
      </c>
      <c r="G57" s="33" t="n">
        <v>160126</v>
      </c>
      <c r="H57" t="inlineStr">
        <is>
          <t>穩懋(3105)</t>
        </is>
      </c>
      <c r="I57" s="33" t="n">
        <v>60746</v>
      </c>
      <c r="J57" s="232" t="n">
        <v>0.3809091151004572</v>
      </c>
    </row>
    <row r="58">
      <c r="B58" s="36" t="inlineStr">
        <is>
          <t>陳律師</t>
        </is>
      </c>
      <c r="C58" s="33" t="n">
        <v>503569</v>
      </c>
      <c r="D58" t="inlineStr">
        <is>
          <t>國巨*(2327)</t>
        </is>
      </c>
      <c r="E58" s="33" t="n">
        <v>117514</v>
      </c>
      <c r="F58" t="inlineStr">
        <is>
          <t>聯電(2303)</t>
        </is>
      </c>
      <c r="G58" s="33" t="n">
        <v>79039</v>
      </c>
      <c r="H58" t="inlineStr">
        <is>
          <t>禾伸堂(3026)</t>
        </is>
      </c>
      <c r="I58" s="33" t="n">
        <v>23535</v>
      </c>
      <c r="J58" s="232" t="n">
        <v>0.437055237481713</v>
      </c>
    </row>
    <row r="59">
      <c r="B59" s="37" t="inlineStr">
        <is>
          <t>林滄海</t>
        </is>
      </c>
      <c r="C59" s="33" t="n">
        <v>345939</v>
      </c>
      <c r="D59" t="inlineStr">
        <is>
          <t>環球晶(6488)</t>
        </is>
      </c>
      <c r="E59" s="33" t="n">
        <v>87903</v>
      </c>
      <c r="F59" t="inlineStr">
        <is>
          <t>華新科(2492)</t>
        </is>
      </c>
      <c r="G59" s="33" t="n">
        <v>51373</v>
      </c>
      <c r="H59" t="inlineStr">
        <is>
          <t>智邦(2345)</t>
        </is>
      </c>
      <c r="I59" s="33" t="n">
        <v>32602</v>
      </c>
      <c r="J59" s="232" t="n">
        <v>0.4968445303940868</v>
      </c>
    </row>
    <row r="60">
      <c r="B60" s="38" t="inlineStr">
        <is>
          <t>強森</t>
        </is>
      </c>
      <c r="C60" s="33" t="n">
        <v>317747</v>
      </c>
      <c r="D60" t="inlineStr">
        <is>
          <t>環球晶(6488)</t>
        </is>
      </c>
      <c r="E60" s="33" t="n">
        <v>41775</v>
      </c>
      <c r="F60" t="inlineStr">
        <is>
          <t>台積電(2330)</t>
        </is>
      </c>
      <c r="G60" s="33" t="n">
        <v>19262</v>
      </c>
      <c r="H60" t="inlineStr">
        <is>
          <t>友達(2409)</t>
        </is>
      </c>
      <c r="I60" s="33" t="n">
        <v>17262</v>
      </c>
      <c r="J60" s="232" t="n">
        <v>0.2464175147987095</v>
      </c>
    </row>
    <row r="61">
      <c r="B61" s="50" t="inlineStr">
        <is>
          <t>蔣承翰</t>
        </is>
      </c>
      <c r="C61" s="33" t="n">
        <v>251343</v>
      </c>
      <c r="D61" t="inlineStr">
        <is>
          <t>創意(3443)</t>
        </is>
      </c>
      <c r="E61" s="33" t="n">
        <v>27590</v>
      </c>
      <c r="F61" t="inlineStr">
        <is>
          <t>騰輝電子-KY(6672)</t>
        </is>
      </c>
      <c r="G61" s="33" t="n">
        <v>19786</v>
      </c>
      <c r="H61" t="inlineStr">
        <is>
          <t>鈞寶(6155)</t>
        </is>
      </c>
      <c r="I61" s="33" t="n">
        <v>13918</v>
      </c>
      <c r="J61" s="232" t="n">
        <v>0.2438687371440621</v>
      </c>
    </row>
    <row r="62">
      <c r="B62" s="51" t="inlineStr">
        <is>
          <t>全村希望資本_村長</t>
        </is>
      </c>
      <c r="C62" s="33" t="n">
        <v>215770</v>
      </c>
      <c r="D62" t="inlineStr">
        <is>
          <t>友達(2409)</t>
        </is>
      </c>
      <c r="E62" s="33" t="n">
        <v>22867</v>
      </c>
      <c r="F62" t="inlineStr">
        <is>
          <t>群創(3481)</t>
        </is>
      </c>
      <c r="G62" s="33" t="n">
        <v>19044</v>
      </c>
      <c r="H62" t="inlineStr">
        <is>
          <t>合晶(6182)</t>
        </is>
      </c>
      <c r="I62" s="33" t="n">
        <v>16466</v>
      </c>
      <c r="J62" s="232" t="n">
        <v>0.2705533670111693</v>
      </c>
    </row>
    <row r="63">
      <c r="B63" s="52" t="inlineStr">
        <is>
          <t>竹科主力分點</t>
        </is>
      </c>
      <c r="C63" s="33" t="n">
        <v>94854</v>
      </c>
      <c r="D63" t="inlineStr">
        <is>
          <t>聯發科(2454)</t>
        </is>
      </c>
      <c r="E63" s="33" t="n">
        <v>10968</v>
      </c>
      <c r="F63" t="inlineStr">
        <is>
          <t>友達(2409)</t>
        </is>
      </c>
      <c r="G63" s="33" t="n">
        <v>9549</v>
      </c>
      <c r="H63" t="inlineStr">
        <is>
          <t>群創(3481)</t>
        </is>
      </c>
      <c r="I63" s="33" t="n">
        <v>7893</v>
      </c>
      <c r="J63" s="232" t="n">
        <v>0.2995178911612676</v>
      </c>
    </row>
    <row r="64">
      <c r="B64" s="53" t="inlineStr">
        <is>
          <t>巨人傑</t>
        </is>
      </c>
      <c r="C64" s="33" t="n">
        <v>84316</v>
      </c>
      <c r="D64" t="inlineStr">
        <is>
          <t>聯電(2303)</t>
        </is>
      </c>
      <c r="E64" s="33" t="n">
        <v>13026</v>
      </c>
      <c r="F64" t="inlineStr">
        <is>
          <t>信驊(5274)</t>
        </is>
      </c>
      <c r="G64" s="33" t="n">
        <v>9444</v>
      </c>
      <c r="H64" t="inlineStr">
        <is>
          <t>高力(8996)</t>
        </is>
      </c>
      <c r="I64" s="33" t="n">
        <v>4187</v>
      </c>
      <c r="J64" s="232" t="n">
        <v>0.3161567007961706</v>
      </c>
    </row>
    <row r="65">
      <c r="B65" s="54" t="inlineStr">
        <is>
          <t>大牌分析師</t>
        </is>
      </c>
      <c r="C65" s="33" t="n">
        <v>66869</v>
      </c>
      <c r="D65" t="inlineStr">
        <is>
          <t>智邦(2345)</t>
        </is>
      </c>
      <c r="E65" s="33" t="n">
        <v>6442</v>
      </c>
      <c r="F65" t="inlineStr">
        <is>
          <t>友達(2409)</t>
        </is>
      </c>
      <c r="G65" s="33" t="n">
        <v>6399</v>
      </c>
      <c r="H65" t="inlineStr">
        <is>
          <t>大立光(3008)</t>
        </is>
      </c>
      <c r="I65" s="33" t="n">
        <v>6294</v>
      </c>
      <c r="J65" s="232" t="n">
        <v>0.2861539519866485</v>
      </c>
    </row>
    <row r="66">
      <c r="B66" s="55" t="inlineStr">
        <is>
          <t>Tradow</t>
        </is>
      </c>
      <c r="C66" s="33" t="n">
        <v>64854</v>
      </c>
      <c r="D66" t="inlineStr">
        <is>
          <t>景碩(3189)</t>
        </is>
      </c>
      <c r="E66" s="33" t="n">
        <v>9550</v>
      </c>
      <c r="F66" t="inlineStr">
        <is>
          <t>禾伸堂(3026)</t>
        </is>
      </c>
      <c r="G66" s="33" t="n">
        <v>9481</v>
      </c>
      <c r="H66" t="inlineStr">
        <is>
          <t>陽程(3498)</t>
        </is>
      </c>
      <c r="I66" s="33" t="n">
        <v>4557</v>
      </c>
      <c r="J66" s="232" t="n">
        <v>0.3637043490328201</v>
      </c>
    </row>
    <row r="67">
      <c r="B67" s="56" t="inlineStr">
        <is>
          <t>布哥/n_nchang</t>
        </is>
      </c>
      <c r="C67" s="33" t="n">
        <v>44791</v>
      </c>
      <c r="D67" t="inlineStr">
        <is>
          <t>穩懋(3105)</t>
        </is>
      </c>
      <c r="E67" s="33" t="n">
        <v>6181</v>
      </c>
      <c r="F67" t="inlineStr">
        <is>
          <t>友達(2409)</t>
        </is>
      </c>
      <c r="G67" s="33" t="n">
        <v>3552</v>
      </c>
      <c r="H67" t="inlineStr">
        <is>
          <t>健策(3653)</t>
        </is>
      </c>
      <c r="I67" s="33" t="n">
        <v>3440</v>
      </c>
      <c r="J67" s="232" t="n">
        <v>0.2940762785464077</v>
      </c>
    </row>
    <row r="68">
      <c r="B68" s="57" t="inlineStr">
        <is>
          <t>迷你哥/松山哥</t>
        </is>
      </c>
      <c r="C68" s="33" t="n">
        <v>17132</v>
      </c>
      <c r="D68" t="inlineStr">
        <is>
          <t>台塑(1301)</t>
        </is>
      </c>
      <c r="E68" s="33" t="n">
        <v>1222</v>
      </c>
      <c r="F68" t="inlineStr">
        <is>
          <t>友達(2409)</t>
        </is>
      </c>
      <c r="G68" s="33" t="n">
        <v>1182</v>
      </c>
      <c r="H68" t="inlineStr">
        <is>
          <t>群創(3481)</t>
        </is>
      </c>
      <c r="I68" s="33" t="n">
        <v>1145</v>
      </c>
      <c r="J68" s="232" t="n">
        <v>0.2071747099063762</v>
      </c>
    </row>
    <row r="70" ht="22" customHeight="1">
      <c r="B70" s="58" t="inlineStr">
        <is>
          <t>▍ G. 注意股 (資料日 20260930)</t>
        </is>
      </c>
    </row>
    <row r="71">
      <c r="B71" s="59" t="inlineStr">
        <is>
          <t>代號</t>
        </is>
      </c>
      <c r="C71" s="59" t="inlineStr">
        <is>
          <t>名稱</t>
        </is>
      </c>
      <c r="D71" s="59" t="inlineStr">
        <is>
          <t>累計次數</t>
        </is>
      </c>
      <c r="E71" s="59" t="inlineStr">
        <is>
          <t>收盤價</t>
        </is>
      </c>
      <c r="F71" s="59" t="inlineStr">
        <is>
          <t>本益比</t>
        </is>
      </c>
    </row>
    <row r="72">
      <c r="B72" t="inlineStr">
        <is>
          <t>072377</t>
        </is>
      </c>
      <c r="C72" t="inlineStr">
        <is>
          <t>友達群益5C購05</t>
        </is>
      </c>
      <c r="D72" t="n">
        <v>1</v>
      </c>
      <c r="E72" t="n">
        <v>7</v>
      </c>
      <c r="F72" t="inlineStr">
        <is>
          <t>-----</t>
        </is>
      </c>
    </row>
    <row r="73">
      <c r="B73" s="40" t="inlineStr">
        <is>
          <t>086845</t>
        </is>
      </c>
      <c r="C73" s="40" t="inlineStr">
        <is>
          <t>全友台新64購01</t>
        </is>
      </c>
      <c r="D73" s="40" t="n">
        <v>1</v>
      </c>
      <c r="E73" s="40" t="n">
        <v>5.85</v>
      </c>
      <c r="F73" s="40" t="inlineStr">
        <is>
          <t>-----</t>
        </is>
      </c>
    </row>
    <row r="74">
      <c r="B74" t="inlineStr">
        <is>
          <t>1617</t>
        </is>
      </c>
      <c r="C74" t="inlineStr">
        <is>
          <t>榮星</t>
        </is>
      </c>
      <c r="D74" t="n">
        <v>1</v>
      </c>
      <c r="E74" t="n">
        <v>24.05</v>
      </c>
      <c r="F74" t="inlineStr">
        <is>
          <t>17.68</t>
        </is>
      </c>
    </row>
    <row r="75">
      <c r="B75" s="40" t="inlineStr">
        <is>
          <t>1727</t>
        </is>
      </c>
      <c r="C75" s="40" t="inlineStr">
        <is>
          <t>中華化</t>
        </is>
      </c>
      <c r="D75" s="40" t="n">
        <v>1</v>
      </c>
      <c r="E75" s="40" t="n">
        <v>109</v>
      </c>
      <c r="F75" s="40" t="inlineStr">
        <is>
          <t>157.97</t>
        </is>
      </c>
    </row>
    <row r="76">
      <c r="B76" t="inlineStr">
        <is>
          <t>2030</t>
        </is>
      </c>
      <c r="C76" t="inlineStr">
        <is>
          <t>彰源</t>
        </is>
      </c>
      <c r="D76" t="n">
        <v>1</v>
      </c>
      <c r="E76" t="n">
        <v>36.7</v>
      </c>
      <c r="F76" t="inlineStr">
        <is>
          <t>18.72</t>
        </is>
      </c>
    </row>
    <row r="77">
      <c r="B77" s="40" t="inlineStr">
        <is>
          <t>2032</t>
        </is>
      </c>
      <c r="C77" s="40" t="inlineStr">
        <is>
          <t>新鋼</t>
        </is>
      </c>
      <c r="D77" s="40" t="n">
        <v>1</v>
      </c>
      <c r="E77" s="40" t="n">
        <v>20.3</v>
      </c>
      <c r="F77" s="40" t="inlineStr">
        <is>
          <t>13.90</t>
        </is>
      </c>
    </row>
    <row r="78">
      <c r="B78" t="inlineStr">
        <is>
          <t>2241</t>
        </is>
      </c>
      <c r="C78" t="inlineStr">
        <is>
          <t>艾姆勒</t>
        </is>
      </c>
      <c r="D78" t="n">
        <v>1</v>
      </c>
      <c r="E78" t="n">
        <v>46.15</v>
      </c>
      <c r="F78" t="inlineStr">
        <is>
          <t>-----</t>
        </is>
      </c>
    </row>
    <row r="79">
      <c r="B79" s="40" t="inlineStr">
        <is>
          <t>2342</t>
        </is>
      </c>
      <c r="C79" s="40" t="inlineStr">
        <is>
          <t>茂矽</t>
        </is>
      </c>
      <c r="D79" s="40" t="n">
        <v>1</v>
      </c>
      <c r="E79" s="40" t="n">
        <v>50.3</v>
      </c>
      <c r="F79" s="40" t="inlineStr">
        <is>
          <t>-----</t>
        </is>
      </c>
    </row>
    <row r="80">
      <c r="B80" t="inlineStr">
        <is>
          <t>2426</t>
        </is>
      </c>
      <c r="C80" t="inlineStr">
        <is>
          <t>鼎元</t>
        </is>
      </c>
      <c r="D80" t="n">
        <v>1</v>
      </c>
      <c r="E80" t="n">
        <v>104</v>
      </c>
      <c r="F80" t="inlineStr">
        <is>
          <t>1040.00</t>
        </is>
      </c>
    </row>
    <row r="81">
      <c r="B81" s="40" t="inlineStr">
        <is>
          <t>2484</t>
        </is>
      </c>
      <c r="C81" s="40" t="inlineStr">
        <is>
          <t>希華</t>
        </is>
      </c>
      <c r="D81" s="40" t="n">
        <v>1</v>
      </c>
      <c r="E81" s="40" t="n">
        <v>78</v>
      </c>
      <c r="F81" s="40" t="inlineStr">
        <is>
          <t>56.12</t>
        </is>
      </c>
    </row>
    <row r="82">
      <c r="B82" t="inlineStr">
        <is>
          <t>3016</t>
        </is>
      </c>
      <c r="C82" t="inlineStr">
        <is>
          <t>嘉晶</t>
        </is>
      </c>
      <c r="D82" t="n">
        <v>1</v>
      </c>
      <c r="E82" t="n">
        <v>169</v>
      </c>
      <c r="F82" t="inlineStr">
        <is>
          <t>140.83</t>
        </is>
      </c>
    </row>
    <row r="83">
      <c r="B83" s="40" t="inlineStr">
        <is>
          <t>3055</t>
        </is>
      </c>
      <c r="C83" s="40" t="inlineStr">
        <is>
          <t>蔚華科</t>
        </is>
      </c>
      <c r="D83" s="40" t="n">
        <v>1</v>
      </c>
      <c r="E83" s="40" t="n">
        <v>209.5</v>
      </c>
      <c r="F83" s="40" t="inlineStr">
        <is>
          <t>-----</t>
        </is>
      </c>
    </row>
    <row r="84">
      <c r="B84" t="inlineStr">
        <is>
          <t>3518</t>
        </is>
      </c>
      <c r="C84" t="inlineStr">
        <is>
          <t>柏騰</t>
        </is>
      </c>
      <c r="D84" t="n">
        <v>1</v>
      </c>
      <c r="E84" t="n">
        <v>41.1</v>
      </c>
      <c r="F84" t="inlineStr">
        <is>
          <t>19.48</t>
        </is>
      </c>
    </row>
    <row r="85">
      <c r="B85" s="40" t="inlineStr">
        <is>
          <t>3717</t>
        </is>
      </c>
      <c r="C85" s="40" t="inlineStr">
        <is>
          <t>聯嘉投控</t>
        </is>
      </c>
      <c r="D85" s="40" t="n">
        <v>1</v>
      </c>
      <c r="E85" s="40" t="n">
        <v>27.7</v>
      </c>
      <c r="F85" s="40" t="inlineStr">
        <is>
          <t>346.25</t>
        </is>
      </c>
    </row>
    <row r="86">
      <c r="B86" t="inlineStr">
        <is>
          <t>6456</t>
        </is>
      </c>
      <c r="C86" t="inlineStr">
        <is>
          <t>GIS-KY</t>
        </is>
      </c>
      <c r="D86" t="n">
        <v>1</v>
      </c>
      <c r="E86" t="n">
        <v>92</v>
      </c>
      <c r="F86" t="inlineStr">
        <is>
          <t>-----</t>
        </is>
      </c>
    </row>
    <row r="88" ht="22" customHeight="1">
      <c r="B88" s="4" t="inlineStr">
        <is>
          <t>▍ H. 借券賣出 Top 15 (機構級反向力量, 資料日 20261001)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00712</t>
        </is>
      </c>
      <c r="C90" t="inlineStr">
        <is>
          <t>復華富時不動產</t>
        </is>
      </c>
      <c r="D90" s="33" t="n">
        <v>26641</v>
      </c>
      <c r="E90" s="33" t="n">
        <v>105</v>
      </c>
      <c r="F90" s="233" t="n">
        <v>253.72</v>
      </c>
    </row>
    <row r="91">
      <c r="B91" s="40" t="inlineStr">
        <is>
          <t>3481</t>
        </is>
      </c>
      <c r="C91" s="40" t="inlineStr">
        <is>
          <t>群創</t>
        </is>
      </c>
      <c r="D91" s="60" t="n">
        <v>21198</v>
      </c>
      <c r="E91" s="60" t="n">
        <v>315</v>
      </c>
      <c r="F91" s="234" t="n">
        <v>67.3</v>
      </c>
    </row>
    <row r="92">
      <c r="B92" t="inlineStr">
        <is>
          <t>2887</t>
        </is>
      </c>
      <c r="C92" t="inlineStr">
        <is>
          <t>台新新光金</t>
        </is>
      </c>
      <c r="D92" s="33" t="n">
        <v>17777</v>
      </c>
      <c r="E92" s="33" t="n">
        <v>1030</v>
      </c>
      <c r="F92" s="233" t="n">
        <v>17.26</v>
      </c>
    </row>
    <row r="93">
      <c r="B93" s="40" t="inlineStr">
        <is>
          <t>2409</t>
        </is>
      </c>
      <c r="C93" s="40" t="inlineStr">
        <is>
          <t>友達</t>
        </is>
      </c>
      <c r="D93" s="60" t="n">
        <v>12561</v>
      </c>
      <c r="E93" s="60" t="n">
        <v>1153</v>
      </c>
      <c r="F93" s="234" t="n">
        <v>10.89</v>
      </c>
    </row>
    <row r="94">
      <c r="B94" t="inlineStr">
        <is>
          <t>2002</t>
        </is>
      </c>
      <c r="C94" t="inlineStr">
        <is>
          <t>中鋼</t>
        </is>
      </c>
      <c r="D94" s="33" t="n">
        <v>8112</v>
      </c>
      <c r="E94" s="33" t="n">
        <v>0</v>
      </c>
      <c r="F94" t="inlineStr">
        <is>
          <t>—</t>
        </is>
      </c>
    </row>
    <row r="95">
      <c r="B95" s="40" t="inlineStr">
        <is>
          <t>2883</t>
        </is>
      </c>
      <c r="C95" s="40" t="inlineStr">
        <is>
          <t>凱基金</t>
        </is>
      </c>
      <c r="D95" s="60" t="n">
        <v>6501</v>
      </c>
      <c r="E95" s="60" t="n">
        <v>10</v>
      </c>
      <c r="F95" s="234" t="n">
        <v>650.1</v>
      </c>
    </row>
    <row r="96">
      <c r="B96" t="inlineStr">
        <is>
          <t>00406A</t>
        </is>
      </c>
      <c r="C96" t="inlineStr">
        <is>
          <t>主動中信台灣收益</t>
        </is>
      </c>
      <c r="D96" s="33" t="n">
        <v>6455</v>
      </c>
      <c r="E96" s="33" t="n">
        <v>0</v>
      </c>
      <c r="F96" t="inlineStr">
        <is>
          <t>—</t>
        </is>
      </c>
    </row>
    <row r="97">
      <c r="B97" s="46" t="inlineStr">
        <is>
          <t>🔴 1101</t>
        </is>
      </c>
      <c r="C97" s="40" t="inlineStr">
        <is>
          <t>台泥</t>
        </is>
      </c>
      <c r="D97" s="60" t="n">
        <v>6132</v>
      </c>
      <c r="E97" s="60" t="n">
        <v>4</v>
      </c>
      <c r="F97" s="235" t="n">
        <v>1533</v>
      </c>
    </row>
    <row r="98">
      <c r="B98" t="inlineStr">
        <is>
          <t>2884</t>
        </is>
      </c>
      <c r="C98" t="inlineStr">
        <is>
          <t>玉山金</t>
        </is>
      </c>
      <c r="D98" s="33" t="n">
        <v>5667</v>
      </c>
      <c r="E98" s="33" t="n">
        <v>27</v>
      </c>
      <c r="F98" s="233" t="n">
        <v>209.89</v>
      </c>
    </row>
    <row r="99">
      <c r="B99" s="40" t="inlineStr">
        <is>
          <t>2885</t>
        </is>
      </c>
      <c r="C99" s="40" t="inlineStr">
        <is>
          <t>元大金</t>
        </is>
      </c>
      <c r="D99" s="60" t="n">
        <v>5630</v>
      </c>
      <c r="E99" s="60" t="n">
        <v>28</v>
      </c>
      <c r="F99" s="234" t="n">
        <v>201.07</v>
      </c>
    </row>
    <row r="100">
      <c r="B100" s="45" t="inlineStr">
        <is>
          <t>🔴 0056</t>
        </is>
      </c>
      <c r="C100" t="inlineStr">
        <is>
          <t>元大高股息</t>
        </is>
      </c>
      <c r="D100" s="33" t="n">
        <v>4550</v>
      </c>
      <c r="E100" s="33" t="n">
        <v>2</v>
      </c>
      <c r="F100" s="236" t="n">
        <v>2275</v>
      </c>
    </row>
    <row r="101">
      <c r="B101" s="46" t="inlineStr">
        <is>
          <t>🔴 2891</t>
        </is>
      </c>
      <c r="C101" s="40" t="inlineStr">
        <is>
          <t>中信金</t>
        </is>
      </c>
      <c r="D101" s="60" t="n">
        <v>3689</v>
      </c>
      <c r="E101" s="60" t="n">
        <v>1</v>
      </c>
      <c r="F101" s="235" t="n">
        <v>3689</v>
      </c>
    </row>
    <row r="102">
      <c r="B102" t="inlineStr">
        <is>
          <t>2542</t>
        </is>
      </c>
      <c r="C102" t="inlineStr">
        <is>
          <t>興富發</t>
        </is>
      </c>
      <c r="D102" s="33" t="n">
        <v>3227</v>
      </c>
      <c r="E102" s="33" t="n">
        <v>0</v>
      </c>
      <c r="F102" t="inlineStr">
        <is>
          <t>—</t>
        </is>
      </c>
    </row>
    <row r="103">
      <c r="B103" s="40" t="inlineStr">
        <is>
          <t>1303</t>
        </is>
      </c>
      <c r="C103" s="40" t="inlineStr">
        <is>
          <t>南亞</t>
        </is>
      </c>
      <c r="D103" s="60" t="n">
        <v>3187</v>
      </c>
      <c r="E103" s="60" t="n">
        <v>279</v>
      </c>
      <c r="F103" s="234" t="n">
        <v>11.42</v>
      </c>
    </row>
    <row r="104">
      <c r="B104" s="45" t="inlineStr">
        <is>
          <t>🔴 2881</t>
        </is>
      </c>
      <c r="C104" t="inlineStr">
        <is>
          <t>富邦金</t>
        </is>
      </c>
      <c r="D104" s="33" t="n">
        <v>2928</v>
      </c>
      <c r="E104" s="33" t="n">
        <v>1</v>
      </c>
      <c r="F104" s="236" t="n">
        <v>2928</v>
      </c>
    </row>
    <row r="106" ht="22" customHeight="1">
      <c r="B106" s="65" t="inlineStr">
        <is>
          <t>▍ I. 未來 30 天除權息 (有效 32 檔, 已剔除過期)</t>
        </is>
      </c>
    </row>
    <row r="107">
      <c r="B107" s="59" t="inlineStr">
        <is>
          <t>除權息日</t>
        </is>
      </c>
      <c r="C107" s="59" t="inlineStr">
        <is>
          <t>代號</t>
        </is>
      </c>
      <c r="D107" s="59" t="inlineStr">
        <is>
          <t>名稱</t>
        </is>
      </c>
      <c r="E107" s="59" t="inlineStr">
        <is>
          <t>類型</t>
        </is>
      </c>
      <c r="F107" s="59" t="inlineStr">
        <is>
          <t>現金股利</t>
        </is>
      </c>
    </row>
    <row r="108">
      <c r="B108" t="inlineStr">
        <is>
          <t>20261001</t>
        </is>
      </c>
      <c r="C108" t="inlineStr">
        <is>
          <t>2323</t>
        </is>
      </c>
      <c r="D108" t="inlineStr">
        <is>
          <t>中環</t>
        </is>
      </c>
      <c r="E108" t="inlineStr">
        <is>
          <t>息</t>
        </is>
      </c>
      <c r="F108" t="n">
        <v>0.2</v>
      </c>
    </row>
    <row r="109">
      <c r="B109" s="40" t="inlineStr">
        <is>
          <t>20261001</t>
        </is>
      </c>
      <c r="C109" s="40" t="inlineStr">
        <is>
          <t>9927</t>
        </is>
      </c>
      <c r="D109" s="40" t="inlineStr">
        <is>
          <t>泰銘</t>
        </is>
      </c>
      <c r="E109" s="40" t="inlineStr">
        <is>
          <t>息</t>
        </is>
      </c>
      <c r="F109" s="40" t="n">
        <v>5</v>
      </c>
    </row>
    <row r="110">
      <c r="B110" t="inlineStr">
        <is>
          <t>20261002</t>
        </is>
      </c>
      <c r="C110" t="inlineStr">
        <is>
          <t>6834</t>
        </is>
      </c>
      <c r="D110" t="inlineStr">
        <is>
          <t>天二科技</t>
        </is>
      </c>
      <c r="E110" t="inlineStr">
        <is>
          <t>權</t>
        </is>
      </c>
      <c r="F110" t="n">
        <v>0</v>
      </c>
    </row>
    <row r="111">
      <c r="B111" s="40" t="inlineStr">
        <is>
          <t>20261005</t>
        </is>
      </c>
      <c r="C111" s="40" t="inlineStr">
        <is>
          <t>00406A</t>
        </is>
      </c>
      <c r="D111" s="40" t="inlineStr">
        <is>
          <t>主動中信台灣收益</t>
        </is>
      </c>
      <c r="E111" s="40" t="inlineStr">
        <is>
          <t>息</t>
        </is>
      </c>
      <c r="F111" s="40" t="n"/>
    </row>
    <row r="112">
      <c r="B112" t="inlineStr">
        <is>
          <t>20261005</t>
        </is>
      </c>
      <c r="C112" t="inlineStr">
        <is>
          <t>00939</t>
        </is>
      </c>
      <c r="D112" t="inlineStr">
        <is>
          <t>統一台灣高息動能</t>
        </is>
      </c>
      <c r="E112" t="inlineStr">
        <is>
          <t>息</t>
        </is>
      </c>
    </row>
    <row r="113">
      <c r="B113" s="40" t="inlineStr">
        <is>
          <t>20261005</t>
        </is>
      </c>
      <c r="C113" s="40" t="inlineStr">
        <is>
          <t>00984D</t>
        </is>
      </c>
      <c r="D113" s="40" t="inlineStr">
        <is>
          <t>主動聯博全球非投</t>
        </is>
      </c>
      <c r="E113" s="40" t="inlineStr">
        <is>
          <t>息</t>
        </is>
      </c>
      <c r="F113" s="40" t="n"/>
    </row>
    <row r="114">
      <c r="B114" t="inlineStr">
        <is>
          <t>20261006</t>
        </is>
      </c>
      <c r="C114" t="inlineStr">
        <is>
          <t>2614</t>
        </is>
      </c>
      <c r="D114" t="inlineStr">
        <is>
          <t>東森</t>
        </is>
      </c>
      <c r="E114" t="inlineStr">
        <is>
          <t>權息</t>
        </is>
      </c>
      <c r="F114" t="n">
        <v>0.4</v>
      </c>
    </row>
    <row r="115">
      <c r="B115" s="40" t="inlineStr">
        <is>
          <t>20261006</t>
        </is>
      </c>
      <c r="C115" s="40" t="inlineStr">
        <is>
          <t>8021</t>
        </is>
      </c>
      <c r="D115" s="40" t="inlineStr">
        <is>
          <t>尖點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20261007</t>
        </is>
      </c>
      <c r="C116" t="inlineStr">
        <is>
          <t>00940</t>
        </is>
      </c>
      <c r="D116" t="inlineStr">
        <is>
          <t>元大台灣價值高息</t>
        </is>
      </c>
      <c r="E116" t="inlineStr">
        <is>
          <t>息</t>
        </is>
      </c>
    </row>
    <row r="117">
      <c r="B117" s="40" t="inlineStr">
        <is>
          <t>20261007</t>
        </is>
      </c>
      <c r="C117" s="40" t="inlineStr">
        <is>
          <t>00946</t>
        </is>
      </c>
      <c r="D117" s="40" t="inlineStr">
        <is>
          <t>群益科技高息成長</t>
        </is>
      </c>
      <c r="E117" s="40" t="inlineStr">
        <is>
          <t>息</t>
        </is>
      </c>
      <c r="F117" s="40" t="n"/>
    </row>
    <row r="118">
      <c r="B118" t="inlineStr">
        <is>
          <t>20261007</t>
        </is>
      </c>
      <c r="C118" t="inlineStr">
        <is>
          <t>00953B</t>
        </is>
      </c>
      <c r="D118" t="inlineStr">
        <is>
          <t>群益優選非投等債</t>
        </is>
      </c>
      <c r="E118" t="inlineStr">
        <is>
          <t>息</t>
        </is>
      </c>
    </row>
    <row r="119">
      <c r="B119" s="40" t="inlineStr">
        <is>
          <t>20261007</t>
        </is>
      </c>
      <c r="C119" s="40" t="inlineStr">
        <is>
          <t>00985B</t>
        </is>
      </c>
      <c r="D119" s="40" t="inlineStr">
        <is>
          <t>群益ESG投等債0-5</t>
        </is>
      </c>
      <c r="E119" s="40" t="inlineStr">
        <is>
          <t>息</t>
        </is>
      </c>
      <c r="F119" s="40" t="n"/>
    </row>
    <row r="120">
      <c r="B120" t="inlineStr">
        <is>
          <t>20261007</t>
        </is>
      </c>
      <c r="C120" t="inlineStr">
        <is>
          <t>2890</t>
        </is>
      </c>
      <c r="D120" t="inlineStr">
        <is>
          <t>永豐金</t>
        </is>
      </c>
      <c r="E120" t="inlineStr">
        <is>
          <t>權</t>
        </is>
      </c>
      <c r="F120" t="n">
        <v>0</v>
      </c>
    </row>
    <row r="121">
      <c r="B121" s="40" t="inlineStr">
        <is>
          <t>20261007</t>
        </is>
      </c>
      <c r="C121" s="40" t="inlineStr">
        <is>
          <t>6108</t>
        </is>
      </c>
      <c r="D121" s="40" t="inlineStr">
        <is>
          <t>競國</t>
        </is>
      </c>
      <c r="E121" s="40" t="inlineStr">
        <is>
          <t>息</t>
        </is>
      </c>
      <c r="F121" s="40" t="n">
        <v>1</v>
      </c>
    </row>
    <row r="122">
      <c r="B122" t="inlineStr">
        <is>
          <t>20261007</t>
        </is>
      </c>
      <c r="C122" t="inlineStr">
        <is>
          <t>6947</t>
        </is>
      </c>
      <c r="D122" t="inlineStr">
        <is>
          <t>台鎔科技</t>
        </is>
      </c>
      <c r="E122" t="inlineStr">
        <is>
          <t>息</t>
        </is>
      </c>
      <c r="F122" t="n">
        <v>0.533326</v>
      </c>
    </row>
  </sheetData>
  <mergeCells count="27">
    <mergeCell ref="C24:D24"/>
    <mergeCell ref="B9:N9"/>
    <mergeCell ref="B88:J88"/>
    <mergeCell ref="G24:I24"/>
    <mergeCell ref="B37:J37"/>
    <mergeCell ref="B4:N4"/>
    <mergeCell ref="B26:N26"/>
    <mergeCell ref="B7:N7"/>
    <mergeCell ref="B25:N25"/>
    <mergeCell ref="B3:N3"/>
    <mergeCell ref="B6:J6"/>
    <mergeCell ref="B45:J45"/>
    <mergeCell ref="B12:N12"/>
    <mergeCell ref="B106:J106"/>
    <mergeCell ref="B11:N11"/>
    <mergeCell ref="C23:D23"/>
    <mergeCell ref="B2:N2"/>
    <mergeCell ref="B54:J54"/>
    <mergeCell ref="B14:N14"/>
    <mergeCell ref="B8:N8"/>
    <mergeCell ref="B22:J22"/>
    <mergeCell ref="G23:I23"/>
    <mergeCell ref="B13:N13"/>
    <mergeCell ref="B28:E28"/>
    <mergeCell ref="B70:J70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7:D5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7:E5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6:C6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6:J6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2:D8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0:D10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2026/10/01</t>
        </is>
      </c>
    </row>
    <row r="4">
      <c r="C4" s="67" t="inlineStr">
        <is>
          <t>📅 明日預測</t>
        </is>
      </c>
    </row>
    <row r="5" ht="24" customHeight="1">
      <c r="C5" s="23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群創 (3481) · 11 大戶</t>
        </is>
      </c>
    </row>
    <row r="9">
      <c r="C9" s="69" t="inlineStr">
        <is>
          <t>② 友達 (2409) · 11 大戶</t>
        </is>
      </c>
    </row>
    <row r="10">
      <c r="C10" s="69" t="inlineStr">
        <is>
          <t>③ 凱基金 (2883) · 12 大戶</t>
        </is>
      </c>
    </row>
    <row r="11">
      <c r="C11" s="69" t="inlineStr">
        <is>
          <t>④ 旺矽 (6223) · 10 大戶</t>
        </is>
      </c>
    </row>
    <row r="12">
      <c r="C12" s="69" t="inlineStr">
        <is>
          <t>⑤ 台泥 (1101)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光電業 · 2 檔 (40%)</t>
        </is>
      </c>
    </row>
    <row r="16">
      <c r="C16" s="69" t="inlineStr">
        <is>
          <t>金融保險業 · 1 檔 (20%)</t>
        </is>
      </c>
    </row>
    <row r="17">
      <c r="C17" s="69" t="inlineStr">
        <is>
          <t>半導體業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智邦 (2345) · 6,442 萬</t>
        </is>
      </c>
    </row>
    <row r="21">
      <c r="C21" s="69" t="inlineStr">
        <is>
          <t>友達 (2409) · 6,399 萬 (★共識)</t>
        </is>
      </c>
    </row>
    <row r="22">
      <c r="C22" s="69" t="inlineStr">
        <is>
          <t>大立光 (3008) · 6,294 萬</t>
        </is>
      </c>
    </row>
    <row r="24">
      <c r="C24" s="67" t="inlineStr">
        <is>
          <t>🚫 今日避開</t>
        </is>
      </c>
    </row>
    <row r="25">
      <c r="C25" s="69" t="inlineStr">
        <is>
          <t>除權息 2 檔 (2323 / 9927)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-111 億 淨買</t>
        </is>
      </c>
    </row>
    <row r="30">
      <c r="C30" s="71" t="inlineStr">
        <is>
          <t>比昨 -59 擴空 / 比 5d -73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3/11 = 27.3%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71" t="inlineStr">
        <is>
          <t>N/A</t>
        </is>
      </c>
      <c r="G7" s="71" t="inlineStr">
        <is>
          <t>N/A</t>
        </is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71" t="inlineStr">
        <is>
          <t>N/A</t>
        </is>
      </c>
      <c r="G8" s="71" t="inlineStr">
        <is>
          <t>N/A</t>
        </is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資料缺, 歸因不全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71" t="inlineStr">
        <is>
          <t>N/A</t>
        </is>
      </c>
      <c r="G9" s="71" t="inlineStr">
        <is>
          <t>N/A</t>
        </is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資料缺, 歸因不全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71" t="inlineStr">
        <is>
          <t>N/A</t>
        </is>
      </c>
      <c r="G10" s="71" t="inlineStr">
        <is>
          <t>N/A</t>
        </is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71" t="inlineStr">
        <is>
          <t>N/A</t>
        </is>
      </c>
      <c r="G11" s="71" t="inlineStr">
        <is>
          <t>N/A</t>
        </is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資料缺, 歸因不全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71" t="inlineStr">
        <is>
          <t>N/A</t>
        </is>
      </c>
      <c r="G12" s="71" t="inlineStr">
        <is>
          <t>N/A</t>
        </is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資料缺, 歸因不全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71" t="inlineStr">
        <is>
          <t>N/A</t>
        </is>
      </c>
      <c r="G13" s="71" t="inlineStr">
        <is>
          <t>N/A</t>
        </is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假共識 (領頭獨佔 ≥50%)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71" t="inlineStr">
        <is>
          <t>N/A</t>
        </is>
      </c>
      <c r="G14" s="71" t="inlineStr">
        <is>
          <t>N/A</t>
        </is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-0.46</v>
      </c>
      <c r="G15" s="248" t="n">
        <v>-1.79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alpha noise (個股無系統性原因)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-0.46</v>
      </c>
      <c r="G16" s="248" t="n">
        <v>-3.18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-0.46</v>
      </c>
      <c r="G17" s="248" t="n">
        <v>-1.27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-0.46</v>
      </c>
      <c r="G18" s="248" t="n">
        <v>-0.33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-0.46</v>
      </c>
      <c r="G19" s="248" t="n">
        <v>-1.64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alpha noise (個股無系統性原因)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1.59</v>
      </c>
      <c r="G20" s="248" t="n">
        <v>-4.64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1.59</v>
      </c>
      <c r="G21" s="248" t="n">
        <v>-2.93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個股弱勢 (跑輸大盤 &gt;2pp)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1.59</v>
      </c>
      <c r="G22" s="248" t="n">
        <v>-2.57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個股弱勢 (跑輸大盤 &gt;2pp)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-0.48</v>
      </c>
      <c r="G23" s="248" t="n">
        <v>-1.17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-0.48</v>
      </c>
      <c r="G24" s="248" t="n">
        <v>-4.78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-0.48</v>
      </c>
      <c r="G25" s="248" t="n">
        <v>-3.71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-0.48</v>
      </c>
      <c r="G26" s="248" t="n">
        <v>-2.69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-0.48</v>
      </c>
      <c r="G27" s="248" t="n">
        <v>-5.4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-0.48</v>
      </c>
      <c r="G28" s="248" t="n">
        <v>-0.03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-0.48</v>
      </c>
      <c r="G29" s="248" t="n">
        <v>-2.5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71" t="inlineStr">
        <is>
          <t>N/A</t>
        </is>
      </c>
      <c r="G30" s="71" t="inlineStr">
        <is>
          <t>N/A</t>
        </is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TAIEX 資料缺, 歸因不全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71" t="inlineStr">
        <is>
          <t>N/A</t>
        </is>
      </c>
      <c r="G31" s="71" t="inlineStr">
        <is>
          <t>N/A</t>
        </is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1.34</v>
      </c>
      <c r="G32" s="248" t="n">
        <v>-2.48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個股弱勢 (跑輸大盤 &gt;2pp)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1.34</v>
      </c>
      <c r="G33" s="248" t="n">
        <v>-7.74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1.34</v>
      </c>
      <c r="G34" s="248" t="n">
        <v>-5.22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1.34</v>
      </c>
      <c r="G35" s="248" t="n">
        <v>-2.79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個股弱勢 (跑輸大盤 &gt;2pp)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1.34</v>
      </c>
      <c r="G36" s="248" t="n">
        <v>-2.72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個股弱勢 (跑輸大盤 &gt;2pp)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1.34</v>
      </c>
      <c r="G37" s="248" t="n">
        <v>-3.14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個股弱勢 (跑輸大盤 &gt;2pp)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1.34</v>
      </c>
      <c r="G38" s="248" t="n">
        <v>-9.44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1.34</v>
      </c>
      <c r="G39" s="248" t="n">
        <v>-3.28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2</v>
      </c>
      <c r="G40" s="248" t="n">
        <v>-8.470000000000001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2</v>
      </c>
      <c r="G41" s="248" t="n">
        <v>-9.52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2</v>
      </c>
      <c r="G42" s="248" t="n">
        <v>-5.61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2</v>
      </c>
      <c r="G43" s="248" t="n">
        <v>-9.119999999999999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2</v>
      </c>
      <c r="G44" s="248" t="n">
        <v>-2.79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個股弱勢 (跑輸大盤 &gt;2pp)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2</v>
      </c>
      <c r="G45" s="248" t="n">
        <v>-4.86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2</v>
      </c>
      <c r="G46" s="248" t="n">
        <v>-3.07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 | 個股弱勢 (跑輸大盤 &gt;2pp)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2</v>
      </c>
      <c r="G47" s="248" t="n">
        <v>-4.99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113/113 交易日出手 5412 次 (692 檔), 風格分布: 隔日沖近似 37% / 當沖 12% / 留倉 51%, 漲停命中 2% (其中 🔒鎖漲停 3%), 前 5 大集中 17%, 長線部位 81% (116 檔), ⚠️ 處置股部位 4% (23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3" t="n">
        <v>6442</v>
      </c>
      <c r="F12" s="33" t="n">
        <v>0</v>
      </c>
      <c r="G12" s="231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6399</v>
      </c>
      <c r="F13" s="33" t="n">
        <v>0</v>
      </c>
      <c r="G13" s="249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6294</v>
      </c>
      <c r="F14" s="33" t="n">
        <v>0</v>
      </c>
      <c r="G14" s="231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4537</v>
      </c>
      <c r="F15" s="33" t="n">
        <v>0</v>
      </c>
      <c r="G15" s="231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4059</v>
      </c>
      <c r="F16" s="33" t="n">
        <v>0</v>
      </c>
      <c r="G16" s="249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3" t="n">
        <v>3952</v>
      </c>
      <c r="F17" s="33" t="n">
        <v>0</v>
      </c>
      <c r="G17" s="231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3" t="n">
        <v>3004</v>
      </c>
      <c r="F18" s="33" t="n">
        <v>0</v>
      </c>
      <c r="G18" s="231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3001</v>
      </c>
      <c r="F19" s="33" t="n">
        <v>0</v>
      </c>
      <c r="G19" s="231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3" t="n">
        <v>2723</v>
      </c>
      <c r="F20" s="33" t="n">
        <v>0</v>
      </c>
      <c r="G20" s="231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2424</v>
      </c>
      <c r="F21" s="33" t="n">
        <v>0</v>
      </c>
      <c r="G21" s="249" t="n">
        <v>-0.0059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250" t="inlineStr">
        <is>
          <t>⚠️ 部分 top-buyer highlight 缺 (11/12 = 91% success | 富邦=11 histock=0 | fail=1 stale=0 empty=0)</t>
        </is>
      </c>
      <c r="B1" s="251" t="n"/>
      <c r="C1" s="251" t="n"/>
      <c r="D1" s="251" t="n"/>
      <c r="E1" s="251" t="n"/>
      <c r="F1" s="251" t="n"/>
      <c r="G1" s="251" t="n"/>
      <c r="H1" s="251" t="n"/>
      <c r="I1" s="251" t="n"/>
      <c r="J1" s="251" t="n"/>
      <c r="K1" s="251" t="n"/>
      <c r="L1" s="251" t="n"/>
    </row>
    <row r="2" ht="16.5" customHeight="1">
      <c r="A2" s="106" t="inlineStr">
        <is>
          <t>高手</t>
        </is>
      </c>
      <c r="B2" s="106" t="inlineStr">
        <is>
          <t>分點</t>
        </is>
      </c>
      <c r="C2" s="106" t="inlineStr">
        <is>
          <t>代號</t>
        </is>
      </c>
      <c r="D2" s="106" t="inlineStr">
        <is>
          <t>標的</t>
        </is>
      </c>
      <c r="E2" s="106" t="inlineStr">
        <is>
          <t>買進(張)</t>
        </is>
      </c>
      <c r="F2" s="106" t="inlineStr">
        <is>
          <t>賣出(張)</t>
        </is>
      </c>
      <c r="G2" s="106" t="inlineStr">
        <is>
          <t>買進(萬元)</t>
        </is>
      </c>
      <c r="H2" s="106" t="inlineStr">
        <is>
          <t>賣出(萬元)</t>
        </is>
      </c>
      <c r="I2" s="106" t="inlineStr">
        <is>
          <t>淨買差(萬元)</t>
        </is>
      </c>
      <c r="J2" s="106" t="inlineStr">
        <is>
          <t>買均</t>
        </is>
      </c>
      <c r="K2" s="106" t="inlineStr">
        <is>
          <t>賣均</t>
        </is>
      </c>
      <c r="L2" s="106" t="inlineStr">
        <is>
          <t>損益(萬)</t>
        </is>
      </c>
    </row>
    <row r="3" ht="16.5" customHeight="1">
      <c r="A3" s="107" t="inlineStr">
        <is>
          <t>民哥</t>
        </is>
      </c>
      <c r="B3" s="108" t="inlineStr">
        <is>
          <t>台新-五權西</t>
        </is>
      </c>
      <c r="C3" s="108" t="inlineStr">
        <is>
          <t>9B25</t>
        </is>
      </c>
      <c r="D3" s="109" t="n"/>
      <c r="E3" s="110" t="n"/>
      <c r="F3" s="110" t="n"/>
      <c r="G3" s="110" t="n"/>
      <c r="H3" s="110" t="n"/>
      <c r="I3" s="110" t="n"/>
      <c r="J3" s="111" t="n"/>
      <c r="K3" s="111" t="n"/>
      <c r="L3" s="252" t="n"/>
    </row>
    <row r="4" ht="16.5" customHeight="1">
      <c r="A4" s="113" t="n"/>
      <c r="B4" s="113" t="n"/>
      <c r="C4" s="113" t="n"/>
      <c r="D4" s="109" t="n"/>
      <c r="E4" s="110" t="n"/>
      <c r="F4" s="110" t="n"/>
      <c r="G4" s="110" t="n"/>
      <c r="H4" s="110" t="n"/>
      <c r="I4" s="110" t="n"/>
      <c r="J4" s="111" t="n"/>
      <c r="K4" s="111" t="n"/>
      <c r="L4" s="252" t="n"/>
    </row>
    <row r="5" ht="16.5" customHeight="1">
      <c r="A5" s="113" t="n"/>
      <c r="B5" s="113" t="n"/>
      <c r="C5" s="113" t="n"/>
      <c r="D5" s="109" t="n"/>
      <c r="E5" s="110" t="n"/>
      <c r="F5" s="110" t="n"/>
      <c r="G5" s="110" t="n"/>
      <c r="H5" s="110" t="n"/>
      <c r="I5" s="110" t="n"/>
      <c r="J5" s="111" t="n"/>
      <c r="K5" s="111" t="n"/>
      <c r="L5" s="252" t="n"/>
    </row>
    <row r="6" ht="16.5" customHeight="1">
      <c r="A6" s="113" t="n"/>
      <c r="B6" s="113" t="n"/>
      <c r="C6" s="113" t="n"/>
      <c r="D6" s="109" t="n"/>
      <c r="E6" s="110" t="n"/>
      <c r="F6" s="110" t="n"/>
      <c r="G6" s="110" t="n"/>
      <c r="H6" s="110" t="n"/>
      <c r="I6" s="110" t="n"/>
      <c r="J6" s="111" t="n"/>
      <c r="K6" s="111" t="n"/>
      <c r="L6" s="252" t="n"/>
    </row>
    <row r="7" ht="16.5" customHeight="1">
      <c r="A7" s="113" t="n"/>
      <c r="B7" s="113" t="n"/>
      <c r="C7" s="113" t="n"/>
      <c r="D7" s="109" t="n"/>
      <c r="E7" s="110" t="n"/>
      <c r="F7" s="110" t="n"/>
      <c r="G7" s="110" t="n"/>
      <c r="H7" s="110" t="n"/>
      <c r="I7" s="110" t="n"/>
      <c r="J7" s="111" t="n"/>
      <c r="K7" s="111" t="n"/>
      <c r="L7" s="252" t="n"/>
    </row>
    <row r="8" ht="16.5" customHeight="1">
      <c r="A8" s="113" t="n"/>
      <c r="B8" s="113" t="n"/>
      <c r="C8" s="113" t="n"/>
      <c r="D8" s="109" t="n"/>
      <c r="E8" s="110" t="n"/>
      <c r="F8" s="110" t="n"/>
      <c r="G8" s="110" t="n"/>
      <c r="H8" s="110" t="n"/>
      <c r="I8" s="110" t="n"/>
      <c r="J8" s="111" t="n"/>
      <c r="K8" s="111" t="n"/>
      <c r="L8" s="252" t="n"/>
    </row>
    <row r="9" ht="16.5" customHeight="1">
      <c r="A9" s="113" t="n"/>
      <c r="B9" s="113" t="n"/>
      <c r="C9" s="113" t="n"/>
      <c r="D9" s="109" t="n"/>
      <c r="E9" s="110" t="n"/>
      <c r="F9" s="110" t="n"/>
      <c r="G9" s="110" t="n"/>
      <c r="H9" s="110" t="n"/>
      <c r="I9" s="110" t="n"/>
      <c r="J9" s="111" t="n"/>
      <c r="K9" s="111" t="n"/>
      <c r="L9" s="252" t="n"/>
    </row>
    <row r="10" ht="16.5" customHeight="1">
      <c r="A10" s="113" t="n"/>
      <c r="B10" s="113" t="n"/>
      <c r="C10" s="113" t="n"/>
      <c r="D10" s="109" t="n"/>
      <c r="E10" s="110" t="n"/>
      <c r="F10" s="110" t="n"/>
      <c r="G10" s="110" t="n"/>
      <c r="H10" s="110" t="n"/>
      <c r="I10" s="110" t="n"/>
      <c r="J10" s="111" t="n"/>
      <c r="K10" s="111" t="n"/>
      <c r="L10" s="252" t="n"/>
    </row>
    <row r="11" ht="16.5" customHeight="1">
      <c r="A11" s="113" t="n"/>
      <c r="B11" s="113" t="n"/>
      <c r="C11" s="113" t="n"/>
      <c r="D11" s="109" t="n"/>
      <c r="E11" s="110" t="n"/>
      <c r="F11" s="110" t="n"/>
      <c r="G11" s="110" t="n"/>
      <c r="H11" s="110" t="n"/>
      <c r="I11" s="110" t="n"/>
      <c r="J11" s="111" t="n"/>
      <c r="K11" s="111" t="n"/>
      <c r="L11" s="252" t="n"/>
    </row>
    <row r="12" ht="16.5" customHeight="1">
      <c r="A12" s="113" t="n"/>
      <c r="B12" s="113" t="n"/>
      <c r="C12" s="113" t="n"/>
      <c r="D12" s="109" t="n"/>
      <c r="E12" s="110" t="n"/>
      <c r="F12" s="110" t="n"/>
      <c r="G12" s="110" t="n"/>
      <c r="H12" s="110" t="n"/>
      <c r="I12" s="110" t="n"/>
      <c r="J12" s="111" t="n"/>
      <c r="K12" s="111" t="n"/>
      <c r="L12" s="252" t="n"/>
    </row>
    <row r="13" ht="16.5" customHeight="1">
      <c r="A13" s="114" t="n"/>
      <c r="B13" s="106" t="inlineStr">
        <is>
          <t>分點</t>
        </is>
      </c>
      <c r="C13" s="106" t="inlineStr">
        <is>
          <t>代號</t>
        </is>
      </c>
      <c r="D13" s="106" t="inlineStr">
        <is>
          <t>標的</t>
        </is>
      </c>
      <c r="E13" s="106" t="inlineStr">
        <is>
          <t>買進(張)</t>
        </is>
      </c>
      <c r="F13" s="106" t="inlineStr">
        <is>
          <t>賣出(張)</t>
        </is>
      </c>
      <c r="G13" s="106" t="inlineStr">
        <is>
          <t>買進(萬元)</t>
        </is>
      </c>
      <c r="H13" s="106" t="inlineStr">
        <is>
          <t>賣出(萬元)</t>
        </is>
      </c>
      <c r="I13" s="106" t="inlineStr">
        <is>
          <t>淨買差(萬元)</t>
        </is>
      </c>
      <c r="J13" s="106" t="inlineStr">
        <is>
          <t>買均</t>
        </is>
      </c>
      <c r="K13" s="106" t="inlineStr">
        <is>
          <t>賣均</t>
        </is>
      </c>
      <c r="L13" s="106" t="inlineStr">
        <is>
          <t>損益(萬)</t>
        </is>
      </c>
    </row>
    <row r="14" ht="16.5" customHeight="1">
      <c r="A14" s="113" t="n"/>
      <c r="B14" s="108" t="inlineStr">
        <is>
          <t>富邦-南屯</t>
        </is>
      </c>
      <c r="C14" s="108" t="inlineStr">
        <is>
          <t>9666</t>
        </is>
      </c>
      <c r="D14" s="109" t="n"/>
      <c r="E14" s="110" t="n"/>
      <c r="F14" s="110" t="n"/>
      <c r="G14" s="110" t="n"/>
      <c r="H14" s="110" t="n"/>
      <c r="I14" s="110" t="n"/>
      <c r="J14" s="111" t="n"/>
      <c r="K14" s="111" t="n"/>
      <c r="L14" s="252" t="n"/>
    </row>
    <row r="15" ht="16.5" customHeight="1">
      <c r="A15" s="113" t="n"/>
      <c r="B15" s="113" t="n"/>
      <c r="C15" s="113" t="n"/>
      <c r="D15" s="109" t="n"/>
      <c r="E15" s="110" t="n"/>
      <c r="F15" s="110" t="n"/>
      <c r="G15" s="110" t="n"/>
      <c r="H15" s="110" t="n"/>
      <c r="I15" s="110" t="n"/>
      <c r="J15" s="111" t="n"/>
      <c r="K15" s="111" t="n"/>
      <c r="L15" s="252" t="n"/>
    </row>
    <row r="16" ht="16.5" customHeight="1">
      <c r="A16" s="113" t="n"/>
      <c r="B16" s="113" t="n"/>
      <c r="C16" s="113" t="n"/>
      <c r="D16" s="109" t="n"/>
      <c r="E16" s="110" t="n"/>
      <c r="F16" s="110" t="n"/>
      <c r="G16" s="110" t="n"/>
      <c r="H16" s="110" t="n"/>
      <c r="I16" s="110" t="n"/>
      <c r="J16" s="111" t="n"/>
      <c r="K16" s="111" t="n"/>
      <c r="L16" s="252" t="n"/>
    </row>
    <row r="17" ht="16.5" customHeight="1">
      <c r="A17" s="113" t="n"/>
      <c r="B17" s="113" t="n"/>
      <c r="C17" s="113" t="n"/>
      <c r="D17" s="109" t="n"/>
      <c r="E17" s="110" t="n"/>
      <c r="F17" s="110" t="n"/>
      <c r="G17" s="110" t="n"/>
      <c r="H17" s="110" t="n"/>
      <c r="I17" s="110" t="n"/>
      <c r="J17" s="111" t="n"/>
      <c r="K17" s="111" t="n"/>
      <c r="L17" s="252" t="n"/>
    </row>
    <row r="18" ht="16.5" customHeight="1">
      <c r="A18" s="113" t="n"/>
      <c r="B18" s="113" t="n"/>
      <c r="C18" s="113" t="n"/>
      <c r="D18" s="109" t="n"/>
      <c r="E18" s="110" t="n"/>
      <c r="F18" s="110" t="n"/>
      <c r="G18" s="110" t="n"/>
      <c r="H18" s="110" t="n"/>
      <c r="I18" s="110" t="n"/>
      <c r="J18" s="111" t="n"/>
      <c r="K18" s="111" t="n"/>
      <c r="L18" s="252" t="n"/>
    </row>
    <row r="19" ht="16.5" customHeight="1">
      <c r="A19" s="113" t="n"/>
      <c r="B19" s="113" t="n"/>
      <c r="C19" s="113" t="n"/>
      <c r="D19" s="109" t="n"/>
      <c r="E19" s="110" t="n"/>
      <c r="F19" s="110" t="n"/>
      <c r="G19" s="110" t="n"/>
      <c r="H19" s="110" t="n"/>
      <c r="I19" s="110" t="n"/>
      <c r="J19" s="111" t="n"/>
      <c r="K19" s="111" t="n"/>
      <c r="L19" s="252" t="n"/>
    </row>
    <row r="20" ht="16.5" customHeight="1">
      <c r="A20" s="113" t="n"/>
      <c r="B20" s="113" t="n"/>
      <c r="C20" s="113" t="n"/>
      <c r="D20" s="109" t="n"/>
      <c r="E20" s="110" t="n"/>
      <c r="F20" s="110" t="n"/>
      <c r="G20" s="110" t="n"/>
      <c r="H20" s="110" t="n"/>
      <c r="I20" s="110" t="n"/>
      <c r="J20" s="111" t="n"/>
      <c r="K20" s="111" t="n"/>
      <c r="L20" s="252" t="n"/>
    </row>
    <row r="21" ht="16.5" customHeight="1">
      <c r="A21" s="113" t="n"/>
      <c r="B21" s="113" t="n"/>
      <c r="C21" s="113" t="n"/>
      <c r="D21" s="109" t="n"/>
      <c r="E21" s="110" t="n"/>
      <c r="F21" s="110" t="n"/>
      <c r="G21" s="110" t="n"/>
      <c r="H21" s="110" t="n"/>
      <c r="I21" s="110" t="n"/>
      <c r="J21" s="111" t="n"/>
      <c r="K21" s="111" t="n"/>
      <c r="L21" s="252" t="n"/>
    </row>
    <row r="22" ht="16.5" customHeight="1">
      <c r="A22" s="113" t="n"/>
      <c r="B22" s="113" t="n"/>
      <c r="C22" s="113" t="n"/>
      <c r="D22" s="109" t="n"/>
      <c r="E22" s="110" t="n"/>
      <c r="F22" s="110" t="n"/>
      <c r="G22" s="110" t="n"/>
      <c r="H22" s="110" t="n"/>
      <c r="I22" s="110" t="n"/>
      <c r="J22" s="111" t="n"/>
      <c r="K22" s="111" t="n"/>
      <c r="L22" s="252" t="n"/>
    </row>
    <row r="23" ht="16.5" customHeight="1">
      <c r="A23" s="113" t="n"/>
      <c r="B23" s="113" t="n"/>
      <c r="C23" s="113" t="n"/>
      <c r="D23" s="109" t="n"/>
      <c r="E23" s="110" t="n"/>
      <c r="F23" s="110" t="n"/>
      <c r="G23" s="110" t="n"/>
      <c r="H23" s="110" t="n"/>
      <c r="I23" s="110" t="n"/>
      <c r="J23" s="111" t="n"/>
      <c r="K23" s="111" t="n"/>
      <c r="L23" s="252" t="n"/>
    </row>
    <row r="24" ht="16.5" customHeight="1">
      <c r="A24" s="114" t="n"/>
      <c r="B24" s="106" t="inlineStr">
        <is>
          <t>分點</t>
        </is>
      </c>
      <c r="C24" s="106" t="inlineStr">
        <is>
          <t>代號</t>
        </is>
      </c>
      <c r="D24" s="106" t="inlineStr">
        <is>
          <t>標的</t>
        </is>
      </c>
      <c r="E24" s="106" t="inlineStr">
        <is>
          <t>買進(張)</t>
        </is>
      </c>
      <c r="F24" s="106" t="inlineStr">
        <is>
          <t>賣出(張)</t>
        </is>
      </c>
      <c r="G24" s="106" t="inlineStr">
        <is>
          <t>買進(萬元)</t>
        </is>
      </c>
      <c r="H24" s="106" t="inlineStr">
        <is>
          <t>賣出(萬元)</t>
        </is>
      </c>
      <c r="I24" s="106" t="inlineStr">
        <is>
          <t>淨買差(萬元)</t>
        </is>
      </c>
      <c r="J24" s="106" t="inlineStr">
        <is>
          <t>買均</t>
        </is>
      </c>
      <c r="K24" s="106" t="inlineStr">
        <is>
          <t>賣均</t>
        </is>
      </c>
      <c r="L24" s="106" t="inlineStr">
        <is>
          <t>損益(萬)</t>
        </is>
      </c>
    </row>
    <row r="25" ht="16.5" customHeight="1">
      <c r="A25" s="113" t="n"/>
      <c r="B25" s="108" t="inlineStr">
        <is>
          <t>國票-彰化</t>
        </is>
      </c>
      <c r="C25" s="108" t="inlineStr">
        <is>
          <t>779W</t>
        </is>
      </c>
      <c r="D25" s="109" t="n"/>
      <c r="E25" s="110" t="n"/>
      <c r="F25" s="110" t="n"/>
      <c r="G25" s="110" t="n"/>
      <c r="H25" s="110" t="n"/>
      <c r="I25" s="110" t="n"/>
      <c r="J25" s="111" t="n"/>
      <c r="K25" s="111" t="n"/>
      <c r="L25" s="252" t="n"/>
    </row>
    <row r="26" ht="16.5" customHeight="1">
      <c r="A26" s="113" t="n"/>
      <c r="B26" s="113" t="n"/>
      <c r="C26" s="113" t="n"/>
      <c r="D26" s="109" t="n"/>
      <c r="E26" s="110" t="n"/>
      <c r="F26" s="110" t="n"/>
      <c r="G26" s="110" t="n"/>
      <c r="H26" s="110" t="n"/>
      <c r="I26" s="110" t="n"/>
      <c r="J26" s="111" t="n"/>
      <c r="K26" s="111" t="n"/>
      <c r="L26" s="252" t="n"/>
    </row>
    <row r="27" ht="16.5" customHeight="1">
      <c r="A27" s="113" t="n"/>
      <c r="B27" s="113" t="n"/>
      <c r="C27" s="113" t="n"/>
      <c r="D27" s="109" t="n"/>
      <c r="E27" s="110" t="n"/>
      <c r="F27" s="110" t="n"/>
      <c r="G27" s="110" t="n"/>
      <c r="H27" s="110" t="n"/>
      <c r="I27" s="110" t="n"/>
      <c r="J27" s="111" t="n"/>
      <c r="K27" s="111" t="n"/>
      <c r="L27" s="252" t="n"/>
    </row>
    <row r="28" ht="16.5" customHeight="1">
      <c r="A28" s="113" t="n"/>
      <c r="B28" s="113" t="n"/>
      <c r="C28" s="113" t="n"/>
      <c r="D28" s="109" t="n"/>
      <c r="E28" s="110" t="n"/>
      <c r="F28" s="110" t="n"/>
      <c r="G28" s="110" t="n"/>
      <c r="H28" s="110" t="n"/>
      <c r="I28" s="110" t="n"/>
      <c r="J28" s="111" t="n"/>
      <c r="K28" s="111" t="n"/>
      <c r="L28" s="252" t="n"/>
    </row>
    <row r="29" ht="16.5" customHeight="1">
      <c r="A29" s="113" t="n"/>
      <c r="B29" s="113" t="n"/>
      <c r="C29" s="113" t="n"/>
      <c r="D29" s="109" t="n"/>
      <c r="E29" s="110" t="n"/>
      <c r="F29" s="110" t="n"/>
      <c r="G29" s="110" t="n"/>
      <c r="H29" s="110" t="n"/>
      <c r="I29" s="110" t="n"/>
      <c r="J29" s="111" t="n"/>
      <c r="K29" s="111" t="n"/>
      <c r="L29" s="252" t="n"/>
    </row>
    <row r="30" ht="16.5" customHeight="1">
      <c r="A30" s="113" t="n"/>
      <c r="B30" s="113" t="n"/>
      <c r="C30" s="113" t="n"/>
      <c r="D30" s="109" t="n"/>
      <c r="E30" s="110" t="n"/>
      <c r="F30" s="110" t="n"/>
      <c r="G30" s="110" t="n"/>
      <c r="H30" s="110" t="n"/>
      <c r="I30" s="110" t="n"/>
      <c r="J30" s="111" t="n"/>
      <c r="K30" s="111" t="n"/>
      <c r="L30" s="252" t="n"/>
    </row>
    <row r="31" ht="16.5" customHeight="1">
      <c r="A31" s="113" t="n"/>
      <c r="B31" s="113" t="n"/>
      <c r="C31" s="113" t="n"/>
      <c r="D31" s="109" t="n"/>
      <c r="E31" s="110" t="n"/>
      <c r="F31" s="110" t="n"/>
      <c r="G31" s="110" t="n"/>
      <c r="H31" s="110" t="n"/>
      <c r="I31" s="110" t="n"/>
      <c r="J31" s="111" t="n"/>
      <c r="K31" s="111" t="n"/>
      <c r="L31" s="252" t="n"/>
    </row>
    <row r="32" ht="16.5" customHeight="1">
      <c r="A32" s="113" t="n"/>
      <c r="B32" s="113" t="n"/>
      <c r="C32" s="113" t="n"/>
      <c r="D32" s="109" t="n"/>
      <c r="E32" s="110" t="n"/>
      <c r="F32" s="110" t="n"/>
      <c r="G32" s="110" t="n"/>
      <c r="H32" s="110" t="n"/>
      <c r="I32" s="110" t="n"/>
      <c r="J32" s="111" t="n"/>
      <c r="K32" s="111" t="n"/>
      <c r="L32" s="252" t="n"/>
    </row>
    <row r="33" ht="16.5" customHeight="1">
      <c r="A33" s="113" t="n"/>
      <c r="B33" s="113" t="n"/>
      <c r="C33" s="113" t="n"/>
      <c r="D33" s="109" t="n"/>
      <c r="E33" s="110" t="n"/>
      <c r="F33" s="110" t="n"/>
      <c r="G33" s="110" t="n"/>
      <c r="H33" s="110" t="n"/>
      <c r="I33" s="110" t="n"/>
      <c r="J33" s="111" t="n"/>
      <c r="K33" s="111" t="n"/>
      <c r="L33" s="252" t="n"/>
    </row>
    <row r="34" ht="16.5" customHeight="1">
      <c r="A34" s="113" t="n"/>
      <c r="B34" s="113" t="n"/>
      <c r="C34" s="113" t="n"/>
      <c r="D34" s="109" t="n"/>
      <c r="E34" s="110" t="n"/>
      <c r="F34" s="110" t="n"/>
      <c r="G34" s="110" t="n"/>
      <c r="H34" s="110" t="n"/>
      <c r="I34" s="110" t="n"/>
      <c r="J34" s="111" t="n"/>
      <c r="K34" s="111" t="n"/>
      <c r="L34" s="252" t="n"/>
    </row>
    <row r="35" ht="16.5" customHeight="1">
      <c r="A35" s="115" t="inlineStr">
        <is>
          <t>高手</t>
        </is>
      </c>
      <c r="B35" s="115" t="inlineStr">
        <is>
          <t>常下分點</t>
        </is>
      </c>
      <c r="C35" s="115" t="inlineStr">
        <is>
          <t>分點代號</t>
        </is>
      </c>
      <c r="D35" s="115" t="inlineStr">
        <is>
          <t>標的</t>
        </is>
      </c>
      <c r="E35" s="115" t="inlineStr">
        <is>
          <t>買進(張)</t>
        </is>
      </c>
      <c r="F35" s="115" t="inlineStr">
        <is>
          <t>賣出(張)</t>
        </is>
      </c>
      <c r="G35" s="115" t="inlineStr">
        <is>
          <t>買進(萬元)</t>
        </is>
      </c>
      <c r="H35" s="115" t="inlineStr">
        <is>
          <t>賣出(萬元)</t>
        </is>
      </c>
      <c r="I35" s="115" t="inlineStr">
        <is>
          <t>淨買差(萬元)</t>
        </is>
      </c>
      <c r="J35" s="115" t="inlineStr">
        <is>
          <t>買均</t>
        </is>
      </c>
      <c r="K35" s="115" t="inlineStr">
        <is>
          <t>賣均</t>
        </is>
      </c>
      <c r="L35" s="115" t="inlineStr">
        <is>
          <t>損益(萬)</t>
        </is>
      </c>
    </row>
    <row r="36" ht="16.5" customHeight="1">
      <c r="A36" s="116" t="inlineStr">
        <is>
          <t>林滄海</t>
        </is>
      </c>
      <c r="B36" s="117" t="inlineStr">
        <is>
          <t>富邦-建國</t>
        </is>
      </c>
      <c r="C36" s="117" t="inlineStr">
        <is>
          <t>9658</t>
        </is>
      </c>
      <c r="D36" s="118" t="n"/>
      <c r="E36" s="119" t="n"/>
      <c r="F36" s="119" t="n"/>
      <c r="G36" s="119" t="n"/>
      <c r="H36" s="119" t="n"/>
      <c r="I36" s="119" t="n"/>
      <c r="J36" s="120" t="n"/>
      <c r="K36" s="120" t="n"/>
      <c r="L36" s="252" t="n"/>
    </row>
    <row r="37" ht="16.5" customHeight="1">
      <c r="A37" s="121" t="n"/>
      <c r="B37" s="121" t="n"/>
      <c r="C37" s="121" t="n"/>
      <c r="D37" s="118" t="n"/>
      <c r="E37" s="119" t="n"/>
      <c r="F37" s="119" t="n"/>
      <c r="G37" s="119" t="n"/>
      <c r="H37" s="119" t="n"/>
      <c r="I37" s="119" t="n"/>
      <c r="J37" s="120" t="n"/>
      <c r="K37" s="120" t="n"/>
      <c r="L37" s="252" t="n"/>
    </row>
    <row r="38" ht="16.5" customHeight="1">
      <c r="A38" s="121" t="n"/>
      <c r="B38" s="121" t="n"/>
      <c r="C38" s="121" t="n"/>
      <c r="D38" s="118" t="n"/>
      <c r="E38" s="119" t="n"/>
      <c r="F38" s="119" t="n"/>
      <c r="G38" s="119" t="n"/>
      <c r="H38" s="119" t="n"/>
      <c r="I38" s="119" t="n"/>
      <c r="J38" s="120" t="n"/>
      <c r="K38" s="120" t="n"/>
      <c r="L38" s="252" t="n"/>
    </row>
    <row r="39" ht="16.5" customHeight="1">
      <c r="A39" s="121" t="n"/>
      <c r="B39" s="121" t="n"/>
      <c r="C39" s="121" t="n"/>
      <c r="D39" s="118" t="n"/>
      <c r="E39" s="119" t="n"/>
      <c r="F39" s="119" t="n"/>
      <c r="G39" s="119" t="n"/>
      <c r="H39" s="119" t="n"/>
      <c r="I39" s="119" t="n"/>
      <c r="J39" s="120" t="n"/>
      <c r="K39" s="120" t="n"/>
      <c r="L39" s="252" t="n"/>
    </row>
    <row r="40" ht="16.5" customHeight="1">
      <c r="A40" s="121" t="n"/>
      <c r="B40" s="121" t="n"/>
      <c r="C40" s="121" t="n"/>
      <c r="D40" s="118" t="n"/>
      <c r="E40" s="119" t="n"/>
      <c r="F40" s="119" t="n"/>
      <c r="G40" s="119" t="n"/>
      <c r="H40" s="119" t="n"/>
      <c r="I40" s="119" t="n"/>
      <c r="J40" s="120" t="n"/>
      <c r="K40" s="120" t="n"/>
      <c r="L40" s="252" t="n"/>
    </row>
    <row r="41" ht="16.5" customHeight="1">
      <c r="A41" s="121" t="n"/>
      <c r="B41" s="121" t="n"/>
      <c r="C41" s="121" t="n"/>
      <c r="D41" s="118" t="n"/>
      <c r="E41" s="119" t="n"/>
      <c r="F41" s="119" t="n"/>
      <c r="G41" s="119" t="n"/>
      <c r="H41" s="119" t="n"/>
      <c r="I41" s="119" t="n"/>
      <c r="J41" s="120" t="n"/>
      <c r="K41" s="120" t="n"/>
      <c r="L41" s="252" t="n"/>
    </row>
    <row r="42" ht="16.5" customHeight="1">
      <c r="A42" s="121" t="n"/>
      <c r="B42" s="121" t="n"/>
      <c r="C42" s="121" t="n"/>
      <c r="D42" s="118" t="n"/>
      <c r="E42" s="119" t="n"/>
      <c r="F42" s="119" t="n"/>
      <c r="G42" s="119" t="n"/>
      <c r="H42" s="119" t="n"/>
      <c r="I42" s="119" t="n"/>
      <c r="J42" s="120" t="n"/>
      <c r="K42" s="120" t="n"/>
      <c r="L42" s="252" t="n"/>
    </row>
    <row r="43" ht="16.5" customHeight="1">
      <c r="A43" s="121" t="n"/>
      <c r="B43" s="121" t="n"/>
      <c r="C43" s="121" t="n"/>
      <c r="D43" s="118" t="n"/>
      <c r="E43" s="119" t="n"/>
      <c r="F43" s="119" t="n"/>
      <c r="G43" s="119" t="n"/>
      <c r="H43" s="119" t="n"/>
      <c r="I43" s="119" t="n"/>
      <c r="J43" s="120" t="n"/>
      <c r="K43" s="120" t="n"/>
      <c r="L43" s="252" t="n"/>
    </row>
    <row r="44" ht="16.5" customHeight="1">
      <c r="A44" s="121" t="n"/>
      <c r="B44" s="121" t="n"/>
      <c r="C44" s="121" t="n"/>
      <c r="D44" s="118" t="n"/>
      <c r="E44" s="119" t="n"/>
      <c r="F44" s="119" t="n"/>
      <c r="G44" s="119" t="n"/>
      <c r="H44" s="119" t="n"/>
      <c r="I44" s="119" t="n"/>
      <c r="J44" s="120" t="n"/>
      <c r="K44" s="120" t="n"/>
      <c r="L44" s="252" t="n"/>
    </row>
    <row r="45" ht="16.5" customHeight="1">
      <c r="A45" s="121" t="n"/>
      <c r="B45" s="121" t="n"/>
      <c r="C45" s="121" t="n"/>
      <c r="D45" s="118" t="n"/>
      <c r="E45" s="119" t="n"/>
      <c r="F45" s="119" t="n"/>
      <c r="G45" s="119" t="n"/>
      <c r="H45" s="119" t="n"/>
      <c r="I45" s="119" t="n"/>
      <c r="J45" s="120" t="n"/>
      <c r="K45" s="120" t="n"/>
      <c r="L45" s="252" t="n"/>
    </row>
    <row r="46" ht="16.5" customHeight="1">
      <c r="A46" s="122" t="n"/>
      <c r="B46" s="115" t="inlineStr">
        <is>
          <t>常下分點</t>
        </is>
      </c>
      <c r="C46" s="115" t="inlineStr">
        <is>
          <t>分點代號</t>
        </is>
      </c>
      <c r="D46" s="115" t="inlineStr">
        <is>
          <t>標的</t>
        </is>
      </c>
      <c r="E46" s="115" t="inlineStr">
        <is>
          <t>買進(張)</t>
        </is>
      </c>
      <c r="F46" s="115" t="inlineStr">
        <is>
          <t>賣出(張)</t>
        </is>
      </c>
      <c r="G46" s="115" t="inlineStr">
        <is>
          <t>買進(萬元)</t>
        </is>
      </c>
      <c r="H46" s="115" t="inlineStr">
        <is>
          <t>賣出(萬元)</t>
        </is>
      </c>
      <c r="I46" s="115" t="inlineStr">
        <is>
          <t>淨買差(萬元)</t>
        </is>
      </c>
      <c r="J46" s="115" t="inlineStr">
        <is>
          <t>買均</t>
        </is>
      </c>
      <c r="K46" s="115" t="inlineStr">
        <is>
          <t>賣均</t>
        </is>
      </c>
      <c r="L46" s="115" t="inlineStr">
        <is>
          <t>損益(萬)</t>
        </is>
      </c>
    </row>
    <row r="47" ht="16.5" customHeight="1">
      <c r="A47" s="121" t="n"/>
      <c r="B47" s="117" t="inlineStr">
        <is>
          <t>華南永昌-古亭</t>
        </is>
      </c>
      <c r="C47" s="117" t="inlineStr">
        <is>
          <t>9309</t>
        </is>
      </c>
      <c r="D47" s="118" t="n"/>
      <c r="E47" s="119" t="n"/>
      <c r="F47" s="119" t="n"/>
      <c r="G47" s="119" t="n"/>
      <c r="H47" s="119" t="n"/>
      <c r="I47" s="119" t="n"/>
      <c r="J47" s="120" t="n"/>
      <c r="K47" s="120" t="n"/>
      <c r="L47" s="252" t="n"/>
    </row>
    <row r="48" ht="16.5" customHeight="1">
      <c r="A48" s="121" t="n"/>
      <c r="B48" s="121" t="n"/>
      <c r="C48" s="121" t="n"/>
      <c r="D48" s="118" t="n"/>
      <c r="E48" s="119" t="n"/>
      <c r="F48" s="119" t="n"/>
      <c r="G48" s="119" t="n"/>
      <c r="H48" s="119" t="n"/>
      <c r="I48" s="119" t="n"/>
      <c r="J48" s="120" t="n"/>
      <c r="K48" s="120" t="n"/>
      <c r="L48" s="252" t="n"/>
    </row>
    <row r="49" ht="16.5" customHeight="1">
      <c r="A49" s="121" t="n"/>
      <c r="B49" s="121" t="n"/>
      <c r="C49" s="121" t="n"/>
      <c r="D49" s="118" t="n"/>
      <c r="E49" s="119" t="n"/>
      <c r="F49" s="119" t="n"/>
      <c r="G49" s="119" t="n"/>
      <c r="H49" s="119" t="n"/>
      <c r="I49" s="119" t="n"/>
      <c r="J49" s="120" t="n"/>
      <c r="K49" s="120" t="n"/>
      <c r="L49" s="252" t="n"/>
    </row>
    <row r="50" ht="16.5" customHeight="1">
      <c r="A50" s="121" t="n"/>
      <c r="B50" s="121" t="n"/>
      <c r="C50" s="121" t="n"/>
      <c r="D50" s="118" t="n"/>
      <c r="E50" s="119" t="n"/>
      <c r="F50" s="119" t="n"/>
      <c r="G50" s="119" t="n"/>
      <c r="H50" s="119" t="n"/>
      <c r="I50" s="119" t="n"/>
      <c r="J50" s="120" t="n"/>
      <c r="K50" s="120" t="n"/>
      <c r="L50" s="252" t="n"/>
    </row>
    <row r="51" ht="16.5" customHeight="1">
      <c r="A51" s="121" t="n"/>
      <c r="B51" s="121" t="n"/>
      <c r="C51" s="121" t="n"/>
      <c r="D51" s="118" t="n"/>
      <c r="E51" s="119" t="n"/>
      <c r="F51" s="119" t="n"/>
      <c r="G51" s="119" t="n"/>
      <c r="H51" s="119" t="n"/>
      <c r="I51" s="119" t="n"/>
      <c r="J51" s="120" t="n"/>
      <c r="K51" s="120" t="n"/>
      <c r="L51" s="252" t="n"/>
    </row>
    <row r="52" ht="16.5" customHeight="1">
      <c r="A52" s="121" t="n"/>
      <c r="B52" s="121" t="n"/>
      <c r="C52" s="121" t="n"/>
      <c r="D52" s="118" t="n"/>
      <c r="E52" s="119" t="n"/>
      <c r="F52" s="119" t="n"/>
      <c r="G52" s="119" t="n"/>
      <c r="H52" s="119" t="n"/>
      <c r="I52" s="119" t="n"/>
      <c r="J52" s="120" t="n"/>
      <c r="K52" s="120" t="n"/>
      <c r="L52" s="252" t="n"/>
    </row>
    <row r="53" ht="16.5" customHeight="1">
      <c r="A53" s="121" t="n"/>
      <c r="B53" s="121" t="n"/>
      <c r="C53" s="121" t="n"/>
      <c r="D53" s="118" t="n"/>
      <c r="E53" s="119" t="n"/>
      <c r="F53" s="119" t="n"/>
      <c r="G53" s="119" t="n"/>
      <c r="H53" s="119" t="n"/>
      <c r="I53" s="119" t="n"/>
      <c r="J53" s="120" t="n"/>
      <c r="K53" s="120" t="n"/>
      <c r="L53" s="252" t="n"/>
    </row>
    <row r="54" ht="16.5" customHeight="1">
      <c r="A54" s="121" t="n"/>
      <c r="B54" s="121" t="n"/>
      <c r="C54" s="121" t="n"/>
      <c r="D54" s="118" t="n"/>
      <c r="E54" s="119" t="n"/>
      <c r="F54" s="119" t="n"/>
      <c r="G54" s="119" t="n"/>
      <c r="H54" s="119" t="n"/>
      <c r="I54" s="119" t="n"/>
      <c r="J54" s="120" t="n"/>
      <c r="K54" s="120" t="n"/>
      <c r="L54" s="252" t="n"/>
    </row>
    <row r="55" ht="16.5" customHeight="1">
      <c r="A55" s="121" t="n"/>
      <c r="B55" s="121" t="n"/>
      <c r="C55" s="121" t="n"/>
      <c r="D55" s="118" t="n"/>
      <c r="E55" s="119" t="n"/>
      <c r="F55" s="119" t="n"/>
      <c r="G55" s="119" t="n"/>
      <c r="H55" s="119" t="n"/>
      <c r="I55" s="119" t="n"/>
      <c r="J55" s="120" t="n"/>
      <c r="K55" s="120" t="n"/>
      <c r="L55" s="252" t="n"/>
    </row>
    <row r="56" ht="16.5" customHeight="1">
      <c r="A56" s="121" t="n"/>
      <c r="B56" s="121" t="n"/>
      <c r="C56" s="121" t="n"/>
      <c r="D56" s="118" t="n"/>
      <c r="E56" s="119" t="n"/>
      <c r="F56" s="119" t="n"/>
      <c r="G56" s="119" t="n"/>
      <c r="H56" s="119" t="n"/>
      <c r="I56" s="119" t="n"/>
      <c r="J56" s="120" t="n"/>
      <c r="K56" s="120" t="n"/>
      <c r="L56" s="252" t="n"/>
    </row>
    <row r="57" ht="16.5" customHeight="1">
      <c r="A57" s="122" t="n"/>
      <c r="B57" s="115" t="inlineStr">
        <is>
          <t>常下分點</t>
        </is>
      </c>
      <c r="C57" s="115" t="inlineStr">
        <is>
          <t>分點代號</t>
        </is>
      </c>
      <c r="D57" s="115" t="inlineStr">
        <is>
          <t>標的</t>
        </is>
      </c>
      <c r="E57" s="115" t="inlineStr">
        <is>
          <t>買進(張)</t>
        </is>
      </c>
      <c r="F57" s="115" t="inlineStr">
        <is>
          <t>賣出(張)</t>
        </is>
      </c>
      <c r="G57" s="115" t="inlineStr">
        <is>
          <t>買進(萬元)</t>
        </is>
      </c>
      <c r="H57" s="115" t="inlineStr">
        <is>
          <t>賣出(萬元)</t>
        </is>
      </c>
      <c r="I57" s="115" t="inlineStr">
        <is>
          <t>淨買差(萬元)</t>
        </is>
      </c>
      <c r="J57" s="115" t="inlineStr">
        <is>
          <t>買均</t>
        </is>
      </c>
      <c r="K57" s="115" t="inlineStr">
        <is>
          <t>賣均</t>
        </is>
      </c>
      <c r="L57" s="115" t="inlineStr">
        <is>
          <t>損益(萬)</t>
        </is>
      </c>
    </row>
    <row r="58" ht="16.5" customHeight="1">
      <c r="A58" s="121" t="n"/>
      <c r="B58" s="117" t="inlineStr">
        <is>
          <t>宏遠證券</t>
        </is>
      </c>
      <c r="C58" s="117" t="inlineStr">
        <is>
          <t>1260</t>
        </is>
      </c>
      <c r="D58" s="118" t="inlineStr">
        <is>
          <t>世界(5347)</t>
        </is>
      </c>
      <c r="E58" s="119" t="n">
        <v>604</v>
      </c>
      <c r="F58" s="119" t="n">
        <v>9</v>
      </c>
      <c r="G58" s="119" t="n">
        <v>11147</v>
      </c>
      <c r="H58" s="119" t="n">
        <v>166</v>
      </c>
      <c r="I58" s="119" t="n">
        <v>10981</v>
      </c>
      <c r="J58" s="120" t="n">
        <v>184.55</v>
      </c>
      <c r="K58" s="120" t="n">
        <v>184.78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京元電子(2449)</t>
        </is>
      </c>
      <c r="E59" s="119" t="n">
        <v>296</v>
      </c>
      <c r="F59" s="119" t="n">
        <v>20</v>
      </c>
      <c r="G59" s="119" t="n">
        <v>8774</v>
      </c>
      <c r="H59" s="119" t="n">
        <v>593</v>
      </c>
      <c r="I59" s="119" t="n">
        <v>8181</v>
      </c>
      <c r="J59" s="120" t="n">
        <v>296.43</v>
      </c>
      <c r="K59" s="120" t="n">
        <v>296.45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9</v>
      </c>
      <c r="F60" s="119" t="n">
        <v>1</v>
      </c>
      <c r="G60" s="119" t="n">
        <v>7179</v>
      </c>
      <c r="H60" s="119" t="n">
        <v>7</v>
      </c>
      <c r="I60" s="119" t="n">
        <v>7172</v>
      </c>
      <c r="J60" s="120" t="n">
        <v>7976.67</v>
      </c>
      <c r="K60" s="120" t="n">
        <v>70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華新科(2492)</t>
        </is>
      </c>
      <c r="E61" s="119" t="n">
        <v>202</v>
      </c>
      <c r="F61" s="119" t="n">
        <v>36</v>
      </c>
      <c r="G61" s="119" t="n">
        <v>6658</v>
      </c>
      <c r="H61" s="119" t="n">
        <v>1198</v>
      </c>
      <c r="I61" s="119" t="n">
        <v>5460</v>
      </c>
      <c r="J61" s="120" t="n">
        <v>329.63</v>
      </c>
      <c r="K61" s="120" t="n">
        <v>332.64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信昌電(6173)</t>
        </is>
      </c>
      <c r="E62" s="119" t="n">
        <v>218</v>
      </c>
      <c r="F62" s="119" t="n">
        <v>47</v>
      </c>
      <c r="G62" s="119" t="n">
        <v>6586</v>
      </c>
      <c r="H62" s="119" t="n">
        <v>1415</v>
      </c>
      <c r="I62" s="119" t="n">
        <v>5171</v>
      </c>
      <c r="J62" s="120" t="n">
        <v>302.11</v>
      </c>
      <c r="K62" s="120" t="n">
        <v>301.13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嘉澤(3533)</t>
        </is>
      </c>
      <c r="E63" s="119" t="n">
        <v>27</v>
      </c>
      <c r="F63" s="119" t="n">
        <v>13</v>
      </c>
      <c r="G63" s="119" t="n">
        <v>4983</v>
      </c>
      <c r="H63" s="119" t="n">
        <v>2374</v>
      </c>
      <c r="I63" s="119" t="n">
        <v>2609</v>
      </c>
      <c r="J63" s="120" t="n">
        <v>1845.48</v>
      </c>
      <c r="K63" s="120" t="n">
        <v>1825.77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高力(8996)</t>
        </is>
      </c>
      <c r="E64" s="119" t="n">
        <v>30</v>
      </c>
      <c r="F64" s="119" t="n">
        <v>6</v>
      </c>
      <c r="G64" s="119" t="n">
        <v>4673</v>
      </c>
      <c r="H64" s="119" t="n">
        <v>937</v>
      </c>
      <c r="I64" s="119" t="n">
        <v>3736</v>
      </c>
      <c r="J64" s="120" t="n">
        <v>1557.73</v>
      </c>
      <c r="K64" s="120" t="n">
        <v>1561.5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群益證(6005)</t>
        </is>
      </c>
      <c r="E65" s="119" t="n">
        <v>1183</v>
      </c>
      <c r="F65" s="119" t="n">
        <v>0</v>
      </c>
      <c r="G65" s="119" t="n">
        <v>3774</v>
      </c>
      <c r="H65" s="119" t="n">
        <v>0</v>
      </c>
      <c r="I65" s="119" t="n">
        <v>3774</v>
      </c>
      <c r="J65" s="120" t="n">
        <v>31.9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29</v>
      </c>
      <c r="F66" s="119" t="n">
        <v>0</v>
      </c>
      <c r="G66" s="119" t="n">
        <v>2671</v>
      </c>
      <c r="H66" s="119" t="n">
        <v>0</v>
      </c>
      <c r="I66" s="119" t="n">
        <v>2671</v>
      </c>
      <c r="J66" s="120" t="n">
        <v>921</v>
      </c>
      <c r="K66" s="120" t="n">
        <v>0</v>
      </c>
      <c r="L66" s="253">
        <f>F66*(K66-J66)</f>
        <v/>
      </c>
    </row>
    <row r="67" ht="16.5" customHeight="1">
      <c r="A67" s="121" t="n"/>
      <c r="B67" s="121" t="n"/>
      <c r="C67" s="121" t="n"/>
      <c r="D67" s="118" t="inlineStr">
        <is>
          <t>合晶(6182)</t>
        </is>
      </c>
      <c r="E67" s="119" t="n">
        <v>163</v>
      </c>
      <c r="F67" s="119" t="n">
        <v>128</v>
      </c>
      <c r="G67" s="119" t="n">
        <v>2118</v>
      </c>
      <c r="H67" s="119" t="n">
        <v>1664</v>
      </c>
      <c r="I67" s="119" t="n">
        <v>454</v>
      </c>
      <c r="J67" s="120" t="n">
        <v>129.91</v>
      </c>
      <c r="K67" s="120" t="n">
        <v>130.03</v>
      </c>
      <c r="L67" s="253">
        <f>F67*(K67-J67)</f>
        <v/>
      </c>
    </row>
    <row r="68" ht="16.5" customHeight="1">
      <c r="A68" s="122" t="n"/>
      <c r="B68" s="115" t="inlineStr">
        <is>
          <t>常下分點</t>
        </is>
      </c>
      <c r="C68" s="115" t="inlineStr">
        <is>
          <t>分點代號</t>
        </is>
      </c>
      <c r="D68" s="115" t="inlineStr">
        <is>
          <t>標的</t>
        </is>
      </c>
      <c r="E68" s="115" t="inlineStr">
        <is>
          <t>買進(張)</t>
        </is>
      </c>
      <c r="F68" s="115" t="inlineStr">
        <is>
          <t>賣出(張)</t>
        </is>
      </c>
      <c r="G68" s="115" t="inlineStr">
        <is>
          <t>買進(萬元)</t>
        </is>
      </c>
      <c r="H68" s="115" t="inlineStr">
        <is>
          <t>賣出(萬元)</t>
        </is>
      </c>
      <c r="I68" s="115" t="inlineStr">
        <is>
          <t>淨買差(萬元)</t>
        </is>
      </c>
      <c r="J68" s="115" t="inlineStr">
        <is>
          <t>買均</t>
        </is>
      </c>
      <c r="K68" s="115" t="inlineStr">
        <is>
          <t>賣均</t>
        </is>
      </c>
      <c r="L68" s="115" t="inlineStr">
        <is>
          <t>損益(萬)</t>
        </is>
      </c>
    </row>
    <row r="69" ht="16.5" customHeight="1">
      <c r="A69" s="121" t="n"/>
      <c r="B69" s="117" t="inlineStr">
        <is>
          <t>凱基-信義</t>
        </is>
      </c>
      <c r="C69" s="117" t="inlineStr">
        <is>
          <t>9216</t>
        </is>
      </c>
      <c r="D69" s="118" t="inlineStr">
        <is>
          <t>環球晶(6488)</t>
        </is>
      </c>
      <c r="E69" s="119" t="n">
        <v>810</v>
      </c>
      <c r="F69" s="119" t="n">
        <v>286</v>
      </c>
      <c r="G69" s="119" t="n">
        <v>87903</v>
      </c>
      <c r="H69" s="119" t="n">
        <v>31014</v>
      </c>
      <c r="I69" s="119" t="n">
        <v>56889</v>
      </c>
      <c r="J69" s="120" t="n">
        <v>1085.22</v>
      </c>
      <c r="K69" s="120" t="n">
        <v>1084.39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華新科(2492)</t>
        </is>
      </c>
      <c r="E70" s="119" t="n">
        <v>1359</v>
      </c>
      <c r="F70" s="119" t="n">
        <v>45</v>
      </c>
      <c r="G70" s="119" t="n">
        <v>44714</v>
      </c>
      <c r="H70" s="119" t="n">
        <v>1484</v>
      </c>
      <c r="I70" s="119" t="n">
        <v>43230</v>
      </c>
      <c r="J70" s="120" t="n">
        <v>329.02</v>
      </c>
      <c r="K70" s="120" t="n">
        <v>329.82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智邦(2345)</t>
        </is>
      </c>
      <c r="E71" s="119" t="n">
        <v>172</v>
      </c>
      <c r="F71" s="119" t="n">
        <v>1</v>
      </c>
      <c r="G71" s="119" t="n">
        <v>32602</v>
      </c>
      <c r="H71" s="119" t="n">
        <v>6</v>
      </c>
      <c r="I71" s="119" t="n">
        <v>32596</v>
      </c>
      <c r="J71" s="120" t="n">
        <v>1895.48</v>
      </c>
      <c r="K71" s="120" t="n">
        <v>57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大量(3167)</t>
        </is>
      </c>
      <c r="E72" s="119" t="n">
        <v>170</v>
      </c>
      <c r="F72" s="119" t="n">
        <v>20</v>
      </c>
      <c r="G72" s="119" t="n">
        <v>16549</v>
      </c>
      <c r="H72" s="119" t="n">
        <v>1998</v>
      </c>
      <c r="I72" s="119" t="n">
        <v>14551</v>
      </c>
      <c r="J72" s="120" t="n">
        <v>973.45</v>
      </c>
      <c r="K72" s="120" t="n">
        <v>999.15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力積電(6770)</t>
        </is>
      </c>
      <c r="E73" s="119" t="n">
        <v>1566</v>
      </c>
      <c r="F73" s="119" t="n">
        <v>17</v>
      </c>
      <c r="G73" s="119" t="n">
        <v>11664</v>
      </c>
      <c r="H73" s="119" t="n">
        <v>127</v>
      </c>
      <c r="I73" s="119" t="n">
        <v>11537</v>
      </c>
      <c r="J73" s="120" t="n">
        <v>74.48</v>
      </c>
      <c r="K73" s="120" t="n">
        <v>74.76000000000001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聯發科(2454)</t>
        </is>
      </c>
      <c r="E74" s="119" t="n">
        <v>17</v>
      </c>
      <c r="F74" s="119" t="n">
        <v>13</v>
      </c>
      <c r="G74" s="119" t="n">
        <v>8464</v>
      </c>
      <c r="H74" s="119" t="n">
        <v>6574</v>
      </c>
      <c r="I74" s="119" t="n">
        <v>1890</v>
      </c>
      <c r="J74" s="120" t="n">
        <v>4979.12</v>
      </c>
      <c r="K74" s="120" t="n">
        <v>5056.92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晶心科(6533)</t>
        </is>
      </c>
      <c r="E75" s="119" t="n">
        <v>227</v>
      </c>
      <c r="F75" s="119" t="n">
        <v>24</v>
      </c>
      <c r="G75" s="119" t="n">
        <v>8314</v>
      </c>
      <c r="H75" s="119" t="n">
        <v>874</v>
      </c>
      <c r="I75" s="119" t="n">
        <v>7440</v>
      </c>
      <c r="J75" s="120" t="n">
        <v>366.26</v>
      </c>
      <c r="K75" s="120" t="n">
        <v>364.21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奇鋐(3017)</t>
        </is>
      </c>
      <c r="E76" s="119" t="n">
        <v>20</v>
      </c>
      <c r="F76" s="119" t="n">
        <v>1</v>
      </c>
      <c r="G76" s="119" t="n">
        <v>7162</v>
      </c>
      <c r="H76" s="119" t="n">
        <v>17</v>
      </c>
      <c r="I76" s="119" t="n">
        <v>7145</v>
      </c>
      <c r="J76" s="120" t="n">
        <v>3580.9</v>
      </c>
      <c r="K76" s="120" t="n">
        <v>171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騰輝電子-KY(6672)</t>
        </is>
      </c>
      <c r="E77" s="119" t="n">
        <v>141</v>
      </c>
      <c r="F77" s="119" t="n">
        <v>1</v>
      </c>
      <c r="G77" s="119" t="n">
        <v>5707</v>
      </c>
      <c r="H77" s="119" t="n">
        <v>39</v>
      </c>
      <c r="I77" s="119" t="n">
        <v>5668</v>
      </c>
      <c r="J77" s="120" t="n">
        <v>404.72</v>
      </c>
      <c r="K77" s="120" t="n">
        <v>388</v>
      </c>
      <c r="L77" s="254">
        <f>F77*(K77-J77)</f>
        <v/>
      </c>
    </row>
    <row r="78" ht="16.5" customHeight="1">
      <c r="A78" s="121" t="n"/>
      <c r="B78" s="121" t="n"/>
      <c r="C78" s="121" t="n"/>
      <c r="D78" s="118" t="inlineStr">
        <is>
          <t>創意(3443)</t>
        </is>
      </c>
      <c r="E78" s="119" t="n">
        <v>7</v>
      </c>
      <c r="F78" s="119" t="n">
        <v>4</v>
      </c>
      <c r="G78" s="119" t="n">
        <v>5544</v>
      </c>
      <c r="H78" s="119" t="n">
        <v>3118</v>
      </c>
      <c r="I78" s="119" t="n">
        <v>2426</v>
      </c>
      <c r="J78" s="120" t="n">
        <v>7920.14</v>
      </c>
      <c r="K78" s="120" t="n">
        <v>7793.75</v>
      </c>
      <c r="L78" s="254">
        <f>F78*(K78-J78)</f>
        <v/>
      </c>
    </row>
    <row r="79" ht="16.5" customHeight="1">
      <c r="A79" s="125" t="inlineStr">
        <is>
          <t>高手</t>
        </is>
      </c>
      <c r="B79" s="125" t="inlineStr">
        <is>
          <t>常下分點</t>
        </is>
      </c>
      <c r="C79" s="125" t="inlineStr">
        <is>
          <t>分點代號</t>
        </is>
      </c>
      <c r="D79" s="125" t="inlineStr">
        <is>
          <t>標的</t>
        </is>
      </c>
      <c r="E79" s="125" t="inlineStr">
        <is>
          <t>買進(張)</t>
        </is>
      </c>
      <c r="F79" s="125" t="inlineStr">
        <is>
          <t>賣出(張)</t>
        </is>
      </c>
      <c r="G79" s="125" t="inlineStr">
        <is>
          <t>買進(萬元)</t>
        </is>
      </c>
      <c r="H79" s="125" t="inlineStr">
        <is>
          <t>賣出(萬元)</t>
        </is>
      </c>
      <c r="I79" s="125" t="inlineStr">
        <is>
          <t>淨買差(萬元)</t>
        </is>
      </c>
      <c r="J79" s="125" t="inlineStr">
        <is>
          <t>買均</t>
        </is>
      </c>
      <c r="K79" s="125" t="inlineStr">
        <is>
          <t>賣均</t>
        </is>
      </c>
      <c r="L79" s="125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緯創(3231)</t>
        </is>
      </c>
      <c r="E80" s="129" t="n">
        <v>1704</v>
      </c>
      <c r="F80" s="129" t="n">
        <v>551</v>
      </c>
      <c r="G80" s="129" t="n">
        <v>32217</v>
      </c>
      <c r="H80" s="129" t="n">
        <v>10364</v>
      </c>
      <c r="I80" s="129" t="n">
        <v>21853</v>
      </c>
      <c r="J80" s="130" t="n">
        <v>189.07</v>
      </c>
      <c r="K80" s="130" t="n">
        <v>188.1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520</v>
      </c>
      <c r="F81" s="129" t="n">
        <v>171</v>
      </c>
      <c r="G81" s="129" t="n">
        <v>30906</v>
      </c>
      <c r="H81" s="129" t="n">
        <v>10036</v>
      </c>
      <c r="I81" s="129" t="n">
        <v>20870</v>
      </c>
      <c r="J81" s="130" t="n">
        <v>594.36</v>
      </c>
      <c r="K81" s="130" t="n">
        <v>586.9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騰輝電子-KY(6672)</t>
        </is>
      </c>
      <c r="E82" s="129" t="n">
        <v>496</v>
      </c>
      <c r="F82" s="129" t="n">
        <v>172</v>
      </c>
      <c r="G82" s="129" t="n">
        <v>20096</v>
      </c>
      <c r="H82" s="129" t="n">
        <v>6524</v>
      </c>
      <c r="I82" s="129" t="n">
        <v>13572</v>
      </c>
      <c r="J82" s="130" t="n">
        <v>405.16</v>
      </c>
      <c r="K82" s="130" t="n">
        <v>379.28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環球晶(6488)</t>
        </is>
      </c>
      <c r="E83" s="129" t="n">
        <v>163</v>
      </c>
      <c r="F83" s="129" t="n">
        <v>125</v>
      </c>
      <c r="G83" s="129" t="n">
        <v>17891</v>
      </c>
      <c r="H83" s="129" t="n">
        <v>13615</v>
      </c>
      <c r="I83" s="129" t="n">
        <v>4276</v>
      </c>
      <c r="J83" s="130" t="n">
        <v>1097.58</v>
      </c>
      <c r="K83" s="130" t="n">
        <v>1089.21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天品(6199)</t>
        </is>
      </c>
      <c r="E84" s="129" t="n">
        <v>1194</v>
      </c>
      <c r="F84" s="129" t="n">
        <v>524</v>
      </c>
      <c r="G84" s="129" t="n">
        <v>15283</v>
      </c>
      <c r="H84" s="129" t="n">
        <v>6707</v>
      </c>
      <c r="I84" s="129" t="n">
        <v>8576</v>
      </c>
      <c r="J84" s="130" t="n">
        <v>128</v>
      </c>
      <c r="K84" s="130" t="n">
        <v>128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高力(8996)</t>
        </is>
      </c>
      <c r="E85" s="129" t="n">
        <v>95</v>
      </c>
      <c r="F85" s="129" t="n">
        <v>5</v>
      </c>
      <c r="G85" s="129" t="n">
        <v>14729</v>
      </c>
      <c r="H85" s="129" t="n">
        <v>809</v>
      </c>
      <c r="I85" s="129" t="n">
        <v>13920</v>
      </c>
      <c r="J85" s="130" t="n">
        <v>1550.44</v>
      </c>
      <c r="K85" s="130" t="n">
        <v>1617.4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聯亞(3081)</t>
        </is>
      </c>
      <c r="E86" s="129" t="n">
        <v>32</v>
      </c>
      <c r="F86" s="129" t="n">
        <v>9</v>
      </c>
      <c r="G86" s="129" t="n">
        <v>8550</v>
      </c>
      <c r="H86" s="129" t="n">
        <v>2383</v>
      </c>
      <c r="I86" s="129" t="n">
        <v>6167</v>
      </c>
      <c r="J86" s="130" t="n">
        <v>2671.78</v>
      </c>
      <c r="K86" s="130" t="n">
        <v>2647.44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玉晶光(3406)</t>
        </is>
      </c>
      <c r="E87" s="129" t="n">
        <v>87</v>
      </c>
      <c r="F87" s="129" t="n">
        <v>18</v>
      </c>
      <c r="G87" s="129" t="n">
        <v>8076</v>
      </c>
      <c r="H87" s="129" t="n">
        <v>1670</v>
      </c>
      <c r="I87" s="129" t="n">
        <v>6406</v>
      </c>
      <c r="J87" s="130" t="n">
        <v>928.25</v>
      </c>
      <c r="K87" s="130" t="n">
        <v>927.61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禾伸堂(3026)</t>
        </is>
      </c>
      <c r="E88" s="129" t="n">
        <v>70</v>
      </c>
      <c r="F88" s="129" t="n">
        <v>18</v>
      </c>
      <c r="G88" s="129" t="n">
        <v>5962</v>
      </c>
      <c r="H88" s="129" t="n">
        <v>1526</v>
      </c>
      <c r="I88" s="129" t="n">
        <v>4436</v>
      </c>
      <c r="J88" s="130" t="n">
        <v>851.76</v>
      </c>
      <c r="K88" s="130" t="n">
        <v>847.67</v>
      </c>
      <c r="L88" s="254">
        <f>F88*(K88-J88)</f>
        <v/>
      </c>
    </row>
    <row r="89" ht="16.5" customHeight="1">
      <c r="A89" s="131" t="n"/>
      <c r="B89" s="131" t="n"/>
      <c r="C89" s="131" t="n"/>
      <c r="D89" s="128" t="inlineStr">
        <is>
          <t>巨鎧精密-創(2254)</t>
        </is>
      </c>
      <c r="E89" s="129" t="n">
        <v>569</v>
      </c>
      <c r="F89" s="129" t="n">
        <v>426</v>
      </c>
      <c r="G89" s="129" t="n">
        <v>5358</v>
      </c>
      <c r="H89" s="129" t="n">
        <v>4004</v>
      </c>
      <c r="I89" s="129" t="n">
        <v>1354</v>
      </c>
      <c r="J89" s="130" t="n">
        <v>94.16</v>
      </c>
      <c r="K89" s="130" t="n">
        <v>94</v>
      </c>
      <c r="L89" s="254">
        <f>F89*(K89-J89)</f>
        <v/>
      </c>
    </row>
    <row r="90" ht="16.5" customHeight="1">
      <c r="A90" s="132" t="n"/>
      <c r="B90" s="125" t="inlineStr">
        <is>
          <t>常下分點</t>
        </is>
      </c>
      <c r="C90" s="125" t="inlineStr">
        <is>
          <t>分點代號</t>
        </is>
      </c>
      <c r="D90" s="125" t="inlineStr">
        <is>
          <t>標的</t>
        </is>
      </c>
      <c r="E90" s="125" t="inlineStr">
        <is>
          <t>買進(張)</t>
        </is>
      </c>
      <c r="F90" s="125" t="inlineStr">
        <is>
          <t>賣出(張)</t>
        </is>
      </c>
      <c r="G90" s="125" t="inlineStr">
        <is>
          <t>買進(萬元)</t>
        </is>
      </c>
      <c r="H90" s="125" t="inlineStr">
        <is>
          <t>賣出(萬元)</t>
        </is>
      </c>
      <c r="I90" s="125" t="inlineStr">
        <is>
          <t>淨買差(萬元)</t>
        </is>
      </c>
      <c r="J90" s="125" t="inlineStr">
        <is>
          <t>買均</t>
        </is>
      </c>
      <c r="K90" s="125" t="inlineStr">
        <is>
          <t>賣均</t>
        </is>
      </c>
      <c r="L90" s="125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2634</v>
      </c>
      <c r="F91" s="129" t="n">
        <v>2445</v>
      </c>
      <c r="G91" s="129" t="n">
        <v>10286</v>
      </c>
      <c r="H91" s="129" t="n">
        <v>9342</v>
      </c>
      <c r="I91" s="129" t="n">
        <v>944</v>
      </c>
      <c r="J91" s="130" t="n">
        <v>39.05</v>
      </c>
      <c r="K91" s="130" t="n">
        <v>38.21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台虹(8039)</t>
        </is>
      </c>
      <c r="E92" s="129" t="n">
        <v>132</v>
      </c>
      <c r="F92" s="129" t="n">
        <v>97</v>
      </c>
      <c r="G92" s="129" t="n">
        <v>3789</v>
      </c>
      <c r="H92" s="129" t="n">
        <v>2839</v>
      </c>
      <c r="I92" s="129" t="n">
        <v>950</v>
      </c>
      <c r="J92" s="130" t="n">
        <v>287.07</v>
      </c>
      <c r="K92" s="130" t="n">
        <v>292.65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合晶(6182)</t>
        </is>
      </c>
      <c r="E93" s="129" t="n">
        <v>284</v>
      </c>
      <c r="F93" s="129" t="n">
        <v>264</v>
      </c>
      <c r="G93" s="129" t="n">
        <v>3737</v>
      </c>
      <c r="H93" s="129" t="n">
        <v>3532</v>
      </c>
      <c r="I93" s="129" t="n">
        <v>205</v>
      </c>
      <c r="J93" s="130" t="n">
        <v>131.58</v>
      </c>
      <c r="K93" s="130" t="n">
        <v>133.77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中美晶(5483)</t>
        </is>
      </c>
      <c r="E94" s="129" t="n">
        <v>153</v>
      </c>
      <c r="F94" s="129" t="n">
        <v>138</v>
      </c>
      <c r="G94" s="129" t="n">
        <v>3232</v>
      </c>
      <c r="H94" s="129" t="n">
        <v>2921</v>
      </c>
      <c r="I94" s="129" t="n">
        <v>311</v>
      </c>
      <c r="J94" s="130" t="n">
        <v>211.24</v>
      </c>
      <c r="K94" s="130" t="n">
        <v>211.64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南電(8046)</t>
        </is>
      </c>
      <c r="E95" s="129" t="n">
        <v>22</v>
      </c>
      <c r="F95" s="129" t="n">
        <v>21</v>
      </c>
      <c r="G95" s="129" t="n">
        <v>3091</v>
      </c>
      <c r="H95" s="129" t="n">
        <v>2912</v>
      </c>
      <c r="I95" s="129" t="n">
        <v>179</v>
      </c>
      <c r="J95" s="130" t="n">
        <v>1405.14</v>
      </c>
      <c r="K95" s="130" t="n">
        <v>1386.62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20</v>
      </c>
      <c r="F96" s="129" t="n">
        <v>18</v>
      </c>
      <c r="G96" s="129" t="n">
        <v>3057</v>
      </c>
      <c r="H96" s="129" t="n">
        <v>2756</v>
      </c>
      <c r="I96" s="129" t="n">
        <v>301</v>
      </c>
      <c r="J96" s="130" t="n">
        <v>1528.5</v>
      </c>
      <c r="K96" s="130" t="n">
        <v>1531.22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今國光(6209)</t>
        </is>
      </c>
      <c r="E97" s="129" t="n">
        <v>345</v>
      </c>
      <c r="F97" s="129" t="n">
        <v>294</v>
      </c>
      <c r="G97" s="129" t="n">
        <v>2863</v>
      </c>
      <c r="H97" s="129" t="n">
        <v>2434</v>
      </c>
      <c r="I97" s="129" t="n">
        <v>429</v>
      </c>
      <c r="J97" s="130" t="n">
        <v>82.98999999999999</v>
      </c>
      <c r="K97" s="130" t="n">
        <v>82.8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群創(3481)</t>
        </is>
      </c>
      <c r="E98" s="129" t="n">
        <v>460</v>
      </c>
      <c r="F98" s="129" t="n">
        <v>226</v>
      </c>
      <c r="G98" s="129" t="n">
        <v>2470</v>
      </c>
      <c r="H98" s="129" t="n">
        <v>1200</v>
      </c>
      <c r="I98" s="129" t="n">
        <v>1270</v>
      </c>
      <c r="J98" s="130" t="n">
        <v>53.69</v>
      </c>
      <c r="K98" s="130" t="n">
        <v>53.11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10</v>
      </c>
      <c r="F99" s="129" t="n">
        <v>8</v>
      </c>
      <c r="G99" s="129" t="n">
        <v>2195</v>
      </c>
      <c r="H99" s="129" t="n">
        <v>1698</v>
      </c>
      <c r="I99" s="129" t="n">
        <v>497</v>
      </c>
      <c r="J99" s="130" t="n">
        <v>2194.8</v>
      </c>
      <c r="K99" s="130" t="n">
        <v>2123.12</v>
      </c>
      <c r="L99" s="254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金山電(8042)</t>
        </is>
      </c>
      <c r="E100" s="129" t="n">
        <v>153</v>
      </c>
      <c r="F100" s="129" t="n">
        <v>135</v>
      </c>
      <c r="G100" s="129" t="n">
        <v>1837</v>
      </c>
      <c r="H100" s="129" t="n">
        <v>1537</v>
      </c>
      <c r="I100" s="129" t="n">
        <v>300</v>
      </c>
      <c r="J100" s="130" t="n">
        <v>120.09</v>
      </c>
      <c r="K100" s="130" t="n">
        <v>113.82</v>
      </c>
      <c r="L100" s="254">
        <f>F100*(K100-J100)</f>
        <v/>
      </c>
    </row>
    <row r="101" ht="16.5" customHeight="1">
      <c r="A101" s="132" t="n"/>
      <c r="B101" s="125" t="inlineStr">
        <is>
          <t>常下分點</t>
        </is>
      </c>
      <c r="C101" s="125" t="inlineStr">
        <is>
          <t>分點代號</t>
        </is>
      </c>
      <c r="D101" s="125" t="inlineStr">
        <is>
          <t>標的</t>
        </is>
      </c>
      <c r="E101" s="125" t="inlineStr">
        <is>
          <t>買進(張)</t>
        </is>
      </c>
      <c r="F101" s="125" t="inlineStr">
        <is>
          <t>賣出(張)</t>
        </is>
      </c>
      <c r="G101" s="125" t="inlineStr">
        <is>
          <t>買進(萬元)</t>
        </is>
      </c>
      <c r="H101" s="125" t="inlineStr">
        <is>
          <t>賣出(萬元)</t>
        </is>
      </c>
      <c r="I101" s="125" t="inlineStr">
        <is>
          <t>淨買差(萬元)</t>
        </is>
      </c>
      <c r="J101" s="125" t="inlineStr">
        <is>
          <t>買均</t>
        </is>
      </c>
      <c r="K101" s="125" t="inlineStr">
        <is>
          <t>賣均</t>
        </is>
      </c>
      <c r="L101" s="125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台積電(2330)</t>
        </is>
      </c>
      <c r="E102" s="129" t="n">
        <v>245</v>
      </c>
      <c r="F102" s="129" t="n">
        <v>51</v>
      </c>
      <c r="G102" s="129" t="n">
        <v>61246</v>
      </c>
      <c r="H102" s="129" t="n">
        <v>12749</v>
      </c>
      <c r="I102" s="129" t="n">
        <v>48497</v>
      </c>
      <c r="J102" s="130" t="n">
        <v>2499.84</v>
      </c>
      <c r="K102" s="130" t="n">
        <v>2499.82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漢唐(2404)</t>
        </is>
      </c>
      <c r="E103" s="129" t="n">
        <v>206</v>
      </c>
      <c r="F103" s="129" t="n">
        <v>5</v>
      </c>
      <c r="G103" s="129" t="n">
        <v>26772</v>
      </c>
      <c r="H103" s="129" t="n">
        <v>661</v>
      </c>
      <c r="I103" s="129" t="n">
        <v>26111</v>
      </c>
      <c r="J103" s="130" t="n">
        <v>1299.63</v>
      </c>
      <c r="K103" s="130" t="n">
        <v>1321.8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南電(8046)</t>
        </is>
      </c>
      <c r="E104" s="129" t="n">
        <v>115</v>
      </c>
      <c r="F104" s="129" t="n">
        <v>33</v>
      </c>
      <c r="G104" s="129" t="n">
        <v>16406</v>
      </c>
      <c r="H104" s="129" t="n">
        <v>4644</v>
      </c>
      <c r="I104" s="129" t="n">
        <v>11762</v>
      </c>
      <c r="J104" s="130" t="n">
        <v>1426.65</v>
      </c>
      <c r="K104" s="130" t="n">
        <v>1407.33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87</v>
      </c>
      <c r="F105" s="129" t="n">
        <v>3</v>
      </c>
      <c r="G105" s="129" t="n">
        <v>16332</v>
      </c>
      <c r="H105" s="129" t="n">
        <v>658</v>
      </c>
      <c r="I105" s="129" t="n">
        <v>15674</v>
      </c>
      <c r="J105" s="130" t="n">
        <v>1877.2</v>
      </c>
      <c r="K105" s="130" t="n">
        <v>2193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欣興(3037)</t>
        </is>
      </c>
      <c r="E106" s="129" t="n">
        <v>91</v>
      </c>
      <c r="F106" s="129" t="n">
        <v>41</v>
      </c>
      <c r="G106" s="129" t="n">
        <v>10915</v>
      </c>
      <c r="H106" s="129" t="n">
        <v>4961</v>
      </c>
      <c r="I106" s="129" t="n">
        <v>5954</v>
      </c>
      <c r="J106" s="130" t="n">
        <v>1199.42</v>
      </c>
      <c r="K106" s="130" t="n">
        <v>1210.05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禾伸堂(3026)</t>
        </is>
      </c>
      <c r="E107" s="129" t="n">
        <v>124</v>
      </c>
      <c r="F107" s="129" t="n">
        <v>64</v>
      </c>
      <c r="G107" s="129" t="n">
        <v>10360</v>
      </c>
      <c r="H107" s="129" t="n">
        <v>5444</v>
      </c>
      <c r="I107" s="129" t="n">
        <v>4916</v>
      </c>
      <c r="J107" s="130" t="n">
        <v>835.5</v>
      </c>
      <c r="K107" s="130" t="n">
        <v>850.58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聯茂(6213)</t>
        </is>
      </c>
      <c r="E108" s="129" t="n">
        <v>165</v>
      </c>
      <c r="F108" s="129" t="n">
        <v>23</v>
      </c>
      <c r="G108" s="129" t="n">
        <v>10320</v>
      </c>
      <c r="H108" s="129" t="n">
        <v>1464</v>
      </c>
      <c r="I108" s="129" t="n">
        <v>8856</v>
      </c>
      <c r="J108" s="130" t="n">
        <v>625.4400000000001</v>
      </c>
      <c r="K108" s="130" t="n">
        <v>636.35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聯電(2303)</t>
        </is>
      </c>
      <c r="E109" s="129" t="n">
        <v>505</v>
      </c>
      <c r="F109" s="129" t="n">
        <v>393</v>
      </c>
      <c r="G109" s="129" t="n">
        <v>8031</v>
      </c>
      <c r="H109" s="129" t="n">
        <v>6207</v>
      </c>
      <c r="I109" s="129" t="n">
        <v>1824</v>
      </c>
      <c r="J109" s="130" t="n">
        <v>159.04</v>
      </c>
      <c r="K109" s="130" t="n">
        <v>157.94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合晶(6182)</t>
        </is>
      </c>
      <c r="E110" s="129" t="n">
        <v>450</v>
      </c>
      <c r="F110" s="129" t="n">
        <v>334</v>
      </c>
      <c r="G110" s="129" t="n">
        <v>6008</v>
      </c>
      <c r="H110" s="129" t="n">
        <v>4475</v>
      </c>
      <c r="I110" s="129" t="n">
        <v>1533</v>
      </c>
      <c r="J110" s="130" t="n">
        <v>133.52</v>
      </c>
      <c r="K110" s="130" t="n">
        <v>133.98</v>
      </c>
      <c r="L110" s="253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嘉澤(3533)</t>
        </is>
      </c>
      <c r="E111" s="129" t="n">
        <v>31</v>
      </c>
      <c r="F111" s="129" t="n">
        <v>12</v>
      </c>
      <c r="G111" s="129" t="n">
        <v>5798</v>
      </c>
      <c r="H111" s="129" t="n">
        <v>2232</v>
      </c>
      <c r="I111" s="129" t="n">
        <v>3566</v>
      </c>
      <c r="J111" s="130" t="n">
        <v>1870.42</v>
      </c>
      <c r="K111" s="130" t="n">
        <v>1860.08</v>
      </c>
      <c r="L111" s="254">
        <f>F111*(K111-J111)</f>
        <v/>
      </c>
    </row>
    <row r="112" ht="16.5" customHeight="1">
      <c r="A112" s="132" t="n"/>
      <c r="B112" s="125" t="inlineStr">
        <is>
          <t>常下分點</t>
        </is>
      </c>
      <c r="C112" s="125" t="inlineStr">
        <is>
          <t>分點代號</t>
        </is>
      </c>
      <c r="D112" s="125" t="inlineStr">
        <is>
          <t>標的</t>
        </is>
      </c>
      <c r="E112" s="125" t="inlineStr">
        <is>
          <t>買進(張)</t>
        </is>
      </c>
      <c r="F112" s="125" t="inlineStr">
        <is>
          <t>賣出(張)</t>
        </is>
      </c>
      <c r="G112" s="125" t="inlineStr">
        <is>
          <t>買進(萬元)</t>
        </is>
      </c>
      <c r="H112" s="125" t="inlineStr">
        <is>
          <t>賣出(萬元)</t>
        </is>
      </c>
      <c r="I112" s="125" t="inlineStr">
        <is>
          <t>淨買差(萬元)</t>
        </is>
      </c>
      <c r="J112" s="125" t="inlineStr">
        <is>
          <t>買均</t>
        </is>
      </c>
      <c r="K112" s="125" t="inlineStr">
        <is>
          <t>賣均</t>
        </is>
      </c>
      <c r="L112" s="125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n"/>
      <c r="E113" s="129" t="n"/>
      <c r="F113" s="129" t="n"/>
      <c r="G113" s="129" t="n"/>
      <c r="H113" s="129" t="n"/>
      <c r="I113" s="129" t="n"/>
      <c r="J113" s="130" t="n"/>
      <c r="K113" s="130" t="n"/>
      <c r="L113" s="252" t="n"/>
    </row>
    <row r="114" ht="16.5" customHeight="1">
      <c r="A114" s="131" t="n"/>
      <c r="B114" s="131" t="n"/>
      <c r="C114" s="131" t="n"/>
      <c r="D114" s="128" t="n"/>
      <c r="E114" s="129" t="n"/>
      <c r="F114" s="129" t="n"/>
      <c r="G114" s="129" t="n"/>
      <c r="H114" s="129" t="n"/>
      <c r="I114" s="129" t="n"/>
      <c r="J114" s="130" t="n"/>
      <c r="K114" s="130" t="n"/>
      <c r="L114" s="252" t="n"/>
    </row>
    <row r="115" ht="16.5" customHeight="1">
      <c r="A115" s="131" t="n"/>
      <c r="B115" s="131" t="n"/>
      <c r="C115" s="131" t="n"/>
      <c r="D115" s="128" t="n"/>
      <c r="E115" s="129" t="n"/>
      <c r="F115" s="129" t="n"/>
      <c r="G115" s="129" t="n"/>
      <c r="H115" s="129" t="n"/>
      <c r="I115" s="129" t="n"/>
      <c r="J115" s="130" t="n"/>
      <c r="K115" s="130" t="n"/>
      <c r="L115" s="252" t="n"/>
    </row>
    <row r="116" ht="16.5" customHeight="1">
      <c r="A116" s="131" t="n"/>
      <c r="B116" s="131" t="n"/>
      <c r="C116" s="131" t="n"/>
      <c r="D116" s="128" t="n"/>
      <c r="E116" s="129" t="n"/>
      <c r="F116" s="129" t="n"/>
      <c r="G116" s="129" t="n"/>
      <c r="H116" s="129" t="n"/>
      <c r="I116" s="129" t="n"/>
      <c r="J116" s="130" t="n"/>
      <c r="K116" s="130" t="n"/>
      <c r="L116" s="252" t="n"/>
    </row>
    <row r="117" ht="16.5" customHeight="1">
      <c r="A117" s="131" t="n"/>
      <c r="B117" s="131" t="n"/>
      <c r="C117" s="131" t="n"/>
      <c r="D117" s="128" t="n"/>
      <c r="E117" s="129" t="n"/>
      <c r="F117" s="129" t="n"/>
      <c r="G117" s="129" t="n"/>
      <c r="H117" s="129" t="n"/>
      <c r="I117" s="129" t="n"/>
      <c r="J117" s="130" t="n"/>
      <c r="K117" s="130" t="n"/>
      <c r="L117" s="252" t="n"/>
    </row>
    <row r="118" ht="16.5" customHeight="1">
      <c r="A118" s="131" t="n"/>
      <c r="B118" s="131" t="n"/>
      <c r="C118" s="131" t="n"/>
      <c r="D118" s="128" t="n"/>
      <c r="E118" s="129" t="n"/>
      <c r="F118" s="129" t="n"/>
      <c r="G118" s="129" t="n"/>
      <c r="H118" s="129" t="n"/>
      <c r="I118" s="129" t="n"/>
      <c r="J118" s="130" t="n"/>
      <c r="K118" s="130" t="n"/>
      <c r="L118" s="252" t="n"/>
    </row>
    <row r="119" ht="16.5" customHeight="1">
      <c r="A119" s="131" t="n"/>
      <c r="B119" s="131" t="n"/>
      <c r="C119" s="131" t="n"/>
      <c r="D119" s="128" t="n"/>
      <c r="E119" s="129" t="n"/>
      <c r="F119" s="129" t="n"/>
      <c r="G119" s="129" t="n"/>
      <c r="H119" s="129" t="n"/>
      <c r="I119" s="129" t="n"/>
      <c r="J119" s="130" t="n"/>
      <c r="K119" s="130" t="n"/>
      <c r="L119" s="252" t="n"/>
    </row>
    <row r="120" ht="16.5" customHeight="1">
      <c r="A120" s="131" t="n"/>
      <c r="B120" s="131" t="n"/>
      <c r="C120" s="131" t="n"/>
      <c r="D120" s="128" t="n"/>
      <c r="E120" s="129" t="n"/>
      <c r="F120" s="129" t="n"/>
      <c r="G120" s="129" t="n"/>
      <c r="H120" s="129" t="n"/>
      <c r="I120" s="129" t="n"/>
      <c r="J120" s="130" t="n"/>
      <c r="K120" s="130" t="n"/>
      <c r="L120" s="252" t="n"/>
    </row>
    <row r="121" ht="16.5" customHeight="1">
      <c r="A121" s="131" t="n"/>
      <c r="B121" s="131" t="n"/>
      <c r="C121" s="131" t="n"/>
      <c r="D121" s="128" t="n"/>
      <c r="E121" s="129" t="n"/>
      <c r="F121" s="129" t="n"/>
      <c r="G121" s="129" t="n"/>
      <c r="H121" s="129" t="n"/>
      <c r="I121" s="129" t="n"/>
      <c r="J121" s="130" t="n"/>
      <c r="K121" s="130" t="n"/>
      <c r="L121" s="252" t="n"/>
    </row>
    <row r="122" ht="16.5" customHeight="1">
      <c r="A122" s="131" t="n"/>
      <c r="B122" s="131" t="n"/>
      <c r="C122" s="131" t="n"/>
      <c r="D122" s="128" t="n"/>
      <c r="E122" s="129" t="n"/>
      <c r="F122" s="129" t="n"/>
      <c r="G122" s="129" t="n"/>
      <c r="H122" s="129" t="n"/>
      <c r="I122" s="129" t="n"/>
      <c r="J122" s="130" t="n"/>
      <c r="K122" s="130" t="n"/>
      <c r="L122" s="252" t="n"/>
    </row>
    <row r="123" ht="16.5" customHeight="1">
      <c r="A123" s="132" t="n"/>
      <c r="B123" s="125" t="inlineStr">
        <is>
          <t>常下分點</t>
        </is>
      </c>
      <c r="C123" s="125" t="inlineStr">
        <is>
          <t>分點代號</t>
        </is>
      </c>
      <c r="D123" s="125" t="inlineStr">
        <is>
          <t>標的</t>
        </is>
      </c>
      <c r="E123" s="125" t="inlineStr">
        <is>
          <t>買進(張)</t>
        </is>
      </c>
      <c r="F123" s="125" t="inlineStr">
        <is>
          <t>賣出(張)</t>
        </is>
      </c>
      <c r="G123" s="125" t="inlineStr">
        <is>
          <t>買進(萬元)</t>
        </is>
      </c>
      <c r="H123" s="125" t="inlineStr">
        <is>
          <t>賣出(萬元)</t>
        </is>
      </c>
      <c r="I123" s="125" t="inlineStr">
        <is>
          <t>淨買差(萬元)</t>
        </is>
      </c>
      <c r="J123" s="125" t="inlineStr">
        <is>
          <t>買均</t>
        </is>
      </c>
      <c r="K123" s="125" t="inlineStr">
        <is>
          <t>賣均</t>
        </is>
      </c>
      <c r="L123" s="125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1103</v>
      </c>
      <c r="F124" s="129" t="n">
        <v>200</v>
      </c>
      <c r="G124" s="129" t="n">
        <v>5801</v>
      </c>
      <c r="H124" s="129" t="n">
        <v>1066</v>
      </c>
      <c r="I124" s="129" t="n">
        <v>4735</v>
      </c>
      <c r="J124" s="130" t="n">
        <v>52.59</v>
      </c>
      <c r="K124" s="130" t="n">
        <v>53.27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1308</v>
      </c>
      <c r="F125" s="129" t="n">
        <v>455</v>
      </c>
      <c r="G125" s="129" t="n">
        <v>5047</v>
      </c>
      <c r="H125" s="129" t="n">
        <v>1767</v>
      </c>
      <c r="I125" s="129" t="n">
        <v>3280</v>
      </c>
      <c r="J125" s="130" t="n">
        <v>38.58</v>
      </c>
      <c r="K125" s="130" t="n">
        <v>38.83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穩懋(3105)</t>
        </is>
      </c>
      <c r="E126" s="129" t="n">
        <v>58</v>
      </c>
      <c r="F126" s="129" t="n">
        <v>9</v>
      </c>
      <c r="G126" s="129" t="n">
        <v>3120</v>
      </c>
      <c r="H126" s="129" t="n">
        <v>497</v>
      </c>
      <c r="I126" s="129" t="n">
        <v>2623</v>
      </c>
      <c r="J126" s="130" t="n">
        <v>537.98</v>
      </c>
      <c r="K126" s="130" t="n">
        <v>552.5599999999999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牧德(3563)</t>
        </is>
      </c>
      <c r="E127" s="129" t="n">
        <v>36</v>
      </c>
      <c r="F127" s="129" t="n">
        <v>2</v>
      </c>
      <c r="G127" s="129" t="n">
        <v>2934</v>
      </c>
      <c r="H127" s="129" t="n">
        <v>156</v>
      </c>
      <c r="I127" s="129" t="n">
        <v>2778</v>
      </c>
      <c r="J127" s="130" t="n">
        <v>815.03</v>
      </c>
      <c r="K127" s="130" t="n">
        <v>777.5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11</v>
      </c>
      <c r="F128" s="129" t="n">
        <v>1</v>
      </c>
      <c r="G128" s="129" t="n">
        <v>2826</v>
      </c>
      <c r="H128" s="129" t="n">
        <v>58</v>
      </c>
      <c r="I128" s="129" t="n">
        <v>2768</v>
      </c>
      <c r="J128" s="130" t="n">
        <v>2569.45</v>
      </c>
      <c r="K128" s="130" t="n">
        <v>580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茂達(6138)</t>
        </is>
      </c>
      <c r="E129" s="129" t="n">
        <v>88</v>
      </c>
      <c r="F129" s="129" t="n">
        <v>1</v>
      </c>
      <c r="G129" s="129" t="n">
        <v>2490</v>
      </c>
      <c r="H129" s="129" t="n">
        <v>28</v>
      </c>
      <c r="I129" s="129" t="n">
        <v>2462</v>
      </c>
      <c r="J129" s="130" t="n">
        <v>283</v>
      </c>
      <c r="K129" s="130" t="n">
        <v>282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3</v>
      </c>
      <c r="F130" s="129" t="n">
        <v>1</v>
      </c>
      <c r="G130" s="129" t="n">
        <v>2418</v>
      </c>
      <c r="H130" s="129" t="n">
        <v>892</v>
      </c>
      <c r="I130" s="129" t="n">
        <v>1526</v>
      </c>
      <c r="J130" s="130" t="n">
        <v>8061</v>
      </c>
      <c r="K130" s="130" t="n">
        <v>8922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金像電(2368)</t>
        </is>
      </c>
      <c r="E131" s="129" t="n">
        <v>19</v>
      </c>
      <c r="F131" s="129" t="n">
        <v>0</v>
      </c>
      <c r="G131" s="129" t="n">
        <v>2113</v>
      </c>
      <c r="H131" s="129" t="n">
        <v>0</v>
      </c>
      <c r="I131" s="129" t="n">
        <v>2113</v>
      </c>
      <c r="J131" s="130" t="n">
        <v>1112.16</v>
      </c>
      <c r="K131" s="130" t="n">
        <v>0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合晶(6182)</t>
        </is>
      </c>
      <c r="E132" s="129" t="n">
        <v>158</v>
      </c>
      <c r="F132" s="129" t="n">
        <v>111</v>
      </c>
      <c r="G132" s="129" t="n">
        <v>2078</v>
      </c>
      <c r="H132" s="129" t="n">
        <v>1479</v>
      </c>
      <c r="I132" s="129" t="n">
        <v>599</v>
      </c>
      <c r="J132" s="130" t="n">
        <v>131.49</v>
      </c>
      <c r="K132" s="130" t="n">
        <v>133.25</v>
      </c>
      <c r="L132" s="253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信昌電(6173)</t>
        </is>
      </c>
      <c r="E133" s="129" t="n">
        <v>57</v>
      </c>
      <c r="F133" s="129" t="n">
        <v>36</v>
      </c>
      <c r="G133" s="129" t="n">
        <v>1736</v>
      </c>
      <c r="H133" s="129" t="n">
        <v>1067</v>
      </c>
      <c r="I133" s="129" t="n">
        <v>669</v>
      </c>
      <c r="J133" s="130" t="n">
        <v>304.58</v>
      </c>
      <c r="K133" s="130" t="n">
        <v>296.28</v>
      </c>
      <c r="L133" s="254">
        <f>F133*(K133-J133)</f>
        <v/>
      </c>
    </row>
    <row r="134" ht="16.5" customHeight="1">
      <c r="A134" s="132" t="n"/>
      <c r="B134" s="125" t="inlineStr">
        <is>
          <t>常下分點</t>
        </is>
      </c>
      <c r="C134" s="125" t="inlineStr">
        <is>
          <t>分點代號</t>
        </is>
      </c>
      <c r="D134" s="125" t="inlineStr">
        <is>
          <t>標的</t>
        </is>
      </c>
      <c r="E134" s="125" t="inlineStr">
        <is>
          <t>買進(張)</t>
        </is>
      </c>
      <c r="F134" s="125" t="inlineStr">
        <is>
          <t>賣出(張)</t>
        </is>
      </c>
      <c r="G134" s="125" t="inlineStr">
        <is>
          <t>買進(萬元)</t>
        </is>
      </c>
      <c r="H134" s="125" t="inlineStr">
        <is>
          <t>賣出(萬元)</t>
        </is>
      </c>
      <c r="I134" s="125" t="inlineStr">
        <is>
          <t>淨買差(萬元)</t>
        </is>
      </c>
      <c r="J134" s="125" t="inlineStr">
        <is>
          <t>買均</t>
        </is>
      </c>
      <c r="K134" s="125" t="inlineStr">
        <is>
          <t>賣均</t>
        </is>
      </c>
      <c r="L134" s="125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景碩(3189)</t>
        </is>
      </c>
      <c r="E135" s="129" t="n">
        <v>874</v>
      </c>
      <c r="F135" s="129" t="n">
        <v>412</v>
      </c>
      <c r="G135" s="129" t="n">
        <v>87305</v>
      </c>
      <c r="H135" s="129" t="n">
        <v>40942</v>
      </c>
      <c r="I135" s="129" t="n">
        <v>46363</v>
      </c>
      <c r="J135" s="130" t="n">
        <v>998.91</v>
      </c>
      <c r="K135" s="130" t="n">
        <v>993.73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南電(8046)</t>
        </is>
      </c>
      <c r="E136" s="129" t="n">
        <v>501</v>
      </c>
      <c r="F136" s="129" t="n">
        <v>308</v>
      </c>
      <c r="G136" s="129" t="n">
        <v>71087</v>
      </c>
      <c r="H136" s="129" t="n">
        <v>43767</v>
      </c>
      <c r="I136" s="129" t="n">
        <v>27320</v>
      </c>
      <c r="J136" s="130" t="n">
        <v>1418.9</v>
      </c>
      <c r="K136" s="130" t="n">
        <v>1421.02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國巨*(2327)</t>
        </is>
      </c>
      <c r="E137" s="129" t="n">
        <v>1175</v>
      </c>
      <c r="F137" s="129" t="n">
        <v>345</v>
      </c>
      <c r="G137" s="129" t="n">
        <v>69723</v>
      </c>
      <c r="H137" s="129" t="n">
        <v>20368</v>
      </c>
      <c r="I137" s="129" t="n">
        <v>49355</v>
      </c>
      <c r="J137" s="130" t="n">
        <v>593.39</v>
      </c>
      <c r="K137" s="130" t="n">
        <v>590.38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361</v>
      </c>
      <c r="F138" s="129" t="n">
        <v>169</v>
      </c>
      <c r="G138" s="129" t="n">
        <v>68662</v>
      </c>
      <c r="H138" s="129" t="n">
        <v>32022</v>
      </c>
      <c r="I138" s="129" t="n">
        <v>36640</v>
      </c>
      <c r="J138" s="130" t="n">
        <v>1902</v>
      </c>
      <c r="K138" s="130" t="n">
        <v>1894.79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台達電(2308)</t>
        </is>
      </c>
      <c r="E139" s="129" t="n">
        <v>341</v>
      </c>
      <c r="F139" s="129" t="n">
        <v>80</v>
      </c>
      <c r="G139" s="129" t="n">
        <v>64941</v>
      </c>
      <c r="H139" s="129" t="n">
        <v>15206</v>
      </c>
      <c r="I139" s="129" t="n">
        <v>49735</v>
      </c>
      <c r="J139" s="130" t="n">
        <v>1904.42</v>
      </c>
      <c r="K139" s="130" t="n">
        <v>1900.74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環球晶(6488)</t>
        </is>
      </c>
      <c r="E140" s="129" t="n">
        <v>551</v>
      </c>
      <c r="F140" s="129" t="n">
        <v>160</v>
      </c>
      <c r="G140" s="129" t="n">
        <v>60206</v>
      </c>
      <c r="H140" s="129" t="n">
        <v>17394</v>
      </c>
      <c r="I140" s="129" t="n">
        <v>42812</v>
      </c>
      <c r="J140" s="130" t="n">
        <v>1092.67</v>
      </c>
      <c r="K140" s="130" t="n">
        <v>1087.16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台積電(2330)</t>
        </is>
      </c>
      <c r="E141" s="129" t="n">
        <v>158</v>
      </c>
      <c r="F141" s="129" t="n">
        <v>34</v>
      </c>
      <c r="G141" s="129" t="n">
        <v>39689</v>
      </c>
      <c r="H141" s="129" t="n">
        <v>8638</v>
      </c>
      <c r="I141" s="129" t="n">
        <v>31051</v>
      </c>
      <c r="J141" s="130" t="n">
        <v>2511.96</v>
      </c>
      <c r="K141" s="130" t="n">
        <v>2540.44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瑞昱(2379)</t>
        </is>
      </c>
      <c r="E142" s="129" t="n">
        <v>482</v>
      </c>
      <c r="F142" s="129" t="n">
        <v>13</v>
      </c>
      <c r="G142" s="129" t="n">
        <v>36683</v>
      </c>
      <c r="H142" s="129" t="n">
        <v>1013</v>
      </c>
      <c r="I142" s="129" t="n">
        <v>35670</v>
      </c>
      <c r="J142" s="130" t="n">
        <v>761.0599999999999</v>
      </c>
      <c r="K142" s="130" t="n">
        <v>779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363</v>
      </c>
      <c r="F143" s="129" t="n">
        <v>281</v>
      </c>
      <c r="G143" s="129" t="n">
        <v>30929</v>
      </c>
      <c r="H143" s="129" t="n">
        <v>23912</v>
      </c>
      <c r="I143" s="129" t="n">
        <v>7017</v>
      </c>
      <c r="J143" s="130" t="n">
        <v>852.03</v>
      </c>
      <c r="K143" s="130" t="n">
        <v>850.95</v>
      </c>
      <c r="L143" s="254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廣達(2382)</t>
        </is>
      </c>
      <c r="E144" s="129" t="n">
        <v>906</v>
      </c>
      <c r="F144" s="129" t="n">
        <v>497</v>
      </c>
      <c r="G144" s="129" t="n">
        <v>30238</v>
      </c>
      <c r="H144" s="129" t="n">
        <v>16485</v>
      </c>
      <c r="I144" s="129" t="n">
        <v>13753</v>
      </c>
      <c r="J144" s="130" t="n">
        <v>333.75</v>
      </c>
      <c r="K144" s="130" t="n">
        <v>331.69</v>
      </c>
      <c r="L144" s="254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4" t="inlineStr">
        <is>
          <t>陳族元</t>
        </is>
      </c>
      <c r="B146" s="135" t="inlineStr">
        <is>
          <t>國泰證券</t>
        </is>
      </c>
      <c r="C146" s="135" t="inlineStr">
        <is>
          <t>8880</t>
        </is>
      </c>
      <c r="D146" s="136" t="inlineStr">
        <is>
          <t>台積電(2330)</t>
        </is>
      </c>
      <c r="E146" s="137" t="n">
        <v>640</v>
      </c>
      <c r="F146" s="137" t="n">
        <v>4</v>
      </c>
      <c r="G146" s="137" t="n">
        <v>160126</v>
      </c>
      <c r="H146" s="137" t="n">
        <v>930</v>
      </c>
      <c r="I146" s="137" t="n">
        <v>159196</v>
      </c>
      <c r="J146" s="138" t="n">
        <v>2501.97</v>
      </c>
      <c r="K146" s="138" t="n">
        <v>2324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南電(8046)</t>
        </is>
      </c>
      <c r="E147" s="137" t="n">
        <v>423</v>
      </c>
      <c r="F147" s="137" t="n">
        <v>190</v>
      </c>
      <c r="G147" s="137" t="n">
        <v>59730</v>
      </c>
      <c r="H147" s="137" t="n">
        <v>26585</v>
      </c>
      <c r="I147" s="137" t="n">
        <v>33145</v>
      </c>
      <c r="J147" s="138" t="n">
        <v>1412.05</v>
      </c>
      <c r="K147" s="138" t="n">
        <v>1399.21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景碩(3189)</t>
        </is>
      </c>
      <c r="E148" s="137" t="n">
        <v>441</v>
      </c>
      <c r="F148" s="137" t="n">
        <v>294</v>
      </c>
      <c r="G148" s="137" t="n">
        <v>44025</v>
      </c>
      <c r="H148" s="137" t="n">
        <v>29310</v>
      </c>
      <c r="I148" s="137" t="n">
        <v>14715</v>
      </c>
      <c r="J148" s="138" t="n">
        <v>998.29</v>
      </c>
      <c r="K148" s="138" t="n">
        <v>996.9299999999999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聯發科(2454)</t>
        </is>
      </c>
      <c r="E149" s="137" t="n">
        <v>80</v>
      </c>
      <c r="F149" s="137" t="n">
        <v>40</v>
      </c>
      <c r="G149" s="137" t="n">
        <v>39736</v>
      </c>
      <c r="H149" s="137" t="n">
        <v>19849</v>
      </c>
      <c r="I149" s="137" t="n">
        <v>19887</v>
      </c>
      <c r="J149" s="138" t="n">
        <v>4967.05</v>
      </c>
      <c r="K149" s="138" t="n">
        <v>4962.15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環球晶(6488)</t>
        </is>
      </c>
      <c r="E150" s="137" t="n">
        <v>338</v>
      </c>
      <c r="F150" s="137" t="n">
        <v>85</v>
      </c>
      <c r="G150" s="137" t="n">
        <v>36794</v>
      </c>
      <c r="H150" s="137" t="n">
        <v>9237</v>
      </c>
      <c r="I150" s="137" t="n">
        <v>27557</v>
      </c>
      <c r="J150" s="138" t="n">
        <v>1088.58</v>
      </c>
      <c r="K150" s="138" t="n">
        <v>1086.73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欣興(3037)</t>
        </is>
      </c>
      <c r="E151" s="137" t="n">
        <v>213</v>
      </c>
      <c r="F151" s="137" t="n">
        <v>24</v>
      </c>
      <c r="G151" s="137" t="n">
        <v>25774</v>
      </c>
      <c r="H151" s="137" t="n">
        <v>2884</v>
      </c>
      <c r="I151" s="137" t="n">
        <v>22890</v>
      </c>
      <c r="J151" s="138" t="n">
        <v>1210.03</v>
      </c>
      <c r="K151" s="138" t="n">
        <v>1201.54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奇鋐(3017)</t>
        </is>
      </c>
      <c r="E152" s="137" t="n">
        <v>72</v>
      </c>
      <c r="F152" s="137" t="n">
        <v>6</v>
      </c>
      <c r="G152" s="137" t="n">
        <v>25189</v>
      </c>
      <c r="H152" s="137" t="n">
        <v>2089</v>
      </c>
      <c r="I152" s="137" t="n">
        <v>23100</v>
      </c>
      <c r="J152" s="138" t="n">
        <v>3498.46</v>
      </c>
      <c r="K152" s="138" t="n">
        <v>3482.33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頎邦(6147)</t>
        </is>
      </c>
      <c r="E153" s="137" t="n">
        <v>1086</v>
      </c>
      <c r="F153" s="137" t="n">
        <v>129</v>
      </c>
      <c r="G153" s="137" t="n">
        <v>23824</v>
      </c>
      <c r="H153" s="137" t="n">
        <v>2818</v>
      </c>
      <c r="I153" s="137" t="n">
        <v>21006</v>
      </c>
      <c r="J153" s="138" t="n">
        <v>219.37</v>
      </c>
      <c r="K153" s="138" t="n">
        <v>218.41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金像電(2368)</t>
        </is>
      </c>
      <c r="E154" s="137" t="n">
        <v>182</v>
      </c>
      <c r="F154" s="137" t="n">
        <v>18</v>
      </c>
      <c r="G154" s="137" t="n">
        <v>20045</v>
      </c>
      <c r="H154" s="137" t="n">
        <v>2006</v>
      </c>
      <c r="I154" s="137" t="n">
        <v>18039</v>
      </c>
      <c r="J154" s="138" t="n">
        <v>1101.36</v>
      </c>
      <c r="K154" s="138" t="n">
        <v>1114.33</v>
      </c>
      <c r="L154" s="253">
        <f>F154*(K154-J154)</f>
        <v/>
      </c>
    </row>
    <row r="155" ht="16.5" customHeight="1">
      <c r="A155" s="139" t="n"/>
      <c r="B155" s="139" t="n"/>
      <c r="C155" s="139" t="n"/>
      <c r="D155" s="136" t="inlineStr">
        <is>
          <t>富邦金(2881)</t>
        </is>
      </c>
      <c r="E155" s="137" t="n">
        <v>1210</v>
      </c>
      <c r="F155" s="137" t="n">
        <v>59</v>
      </c>
      <c r="G155" s="137" t="n">
        <v>18208</v>
      </c>
      <c r="H155" s="137" t="n">
        <v>886</v>
      </c>
      <c r="I155" s="137" t="n">
        <v>17322</v>
      </c>
      <c r="J155" s="138" t="n">
        <v>150.48</v>
      </c>
      <c r="K155" s="138" t="n">
        <v>150.25</v>
      </c>
      <c r="L155" s="254">
        <f>F155*(K155-J155)</f>
        <v/>
      </c>
    </row>
    <row r="156" ht="16.5" customHeight="1">
      <c r="A156" s="140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9" t="n"/>
      <c r="B157" s="135" t="inlineStr">
        <is>
          <t>華南永昌證券</t>
        </is>
      </c>
      <c r="C157" s="135" t="inlineStr">
        <is>
          <t>9300</t>
        </is>
      </c>
      <c r="D157" s="136" t="inlineStr">
        <is>
          <t>國巨*(2327)</t>
        </is>
      </c>
      <c r="E157" s="137" t="n">
        <v>588</v>
      </c>
      <c r="F157" s="137" t="n">
        <v>194</v>
      </c>
      <c r="G157" s="137" t="n">
        <v>34203</v>
      </c>
      <c r="H157" s="137" t="n">
        <v>11497</v>
      </c>
      <c r="I157" s="137" t="n">
        <v>22706</v>
      </c>
      <c r="J157" s="138" t="n">
        <v>581.6900000000001</v>
      </c>
      <c r="K157" s="138" t="n">
        <v>592.65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禾伸堂(3026)</t>
        </is>
      </c>
      <c r="E158" s="137" t="n">
        <v>414</v>
      </c>
      <c r="F158" s="137" t="n">
        <v>38</v>
      </c>
      <c r="G158" s="137" t="n">
        <v>34017</v>
      </c>
      <c r="H158" s="137" t="n">
        <v>3132</v>
      </c>
      <c r="I158" s="137" t="n">
        <v>30885</v>
      </c>
      <c r="J158" s="138" t="n">
        <v>821.67</v>
      </c>
      <c r="K158" s="138" t="n">
        <v>824.26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奇鋐(3017)</t>
        </is>
      </c>
      <c r="E159" s="137" t="n">
        <v>35</v>
      </c>
      <c r="F159" s="137" t="n">
        <v>6</v>
      </c>
      <c r="G159" s="137" t="n">
        <v>12141</v>
      </c>
      <c r="H159" s="137" t="n">
        <v>2186</v>
      </c>
      <c r="I159" s="137" t="n">
        <v>9955</v>
      </c>
      <c r="J159" s="138" t="n">
        <v>3468.94</v>
      </c>
      <c r="K159" s="138" t="n">
        <v>3643.83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富邦金(2881)</t>
        </is>
      </c>
      <c r="E160" s="137" t="n">
        <v>791</v>
      </c>
      <c r="F160" s="137" t="n">
        <v>4</v>
      </c>
      <c r="G160" s="137" t="n">
        <v>11908</v>
      </c>
      <c r="H160" s="137" t="n">
        <v>60</v>
      </c>
      <c r="I160" s="137" t="n">
        <v>11848</v>
      </c>
      <c r="J160" s="138" t="n">
        <v>150.54</v>
      </c>
      <c r="K160" s="138" t="n">
        <v>150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景碩(3189)</t>
        </is>
      </c>
      <c r="E161" s="137" t="n">
        <v>103</v>
      </c>
      <c r="F161" s="137" t="n">
        <v>48</v>
      </c>
      <c r="G161" s="137" t="n">
        <v>10172</v>
      </c>
      <c r="H161" s="137" t="n">
        <v>4768</v>
      </c>
      <c r="I161" s="137" t="n">
        <v>5404</v>
      </c>
      <c r="J161" s="138" t="n">
        <v>987.5599999999999</v>
      </c>
      <c r="K161" s="138" t="n">
        <v>993.4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南亞(1303)</t>
        </is>
      </c>
      <c r="E162" s="137" t="n">
        <v>326</v>
      </c>
      <c r="F162" s="137" t="n">
        <v>74</v>
      </c>
      <c r="G162" s="137" t="n">
        <v>8251</v>
      </c>
      <c r="H162" s="137" t="n">
        <v>1909</v>
      </c>
      <c r="I162" s="137" t="n">
        <v>6342</v>
      </c>
      <c r="J162" s="138" t="n">
        <v>253.11</v>
      </c>
      <c r="K162" s="138" t="n">
        <v>258.03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大立光(3008)</t>
        </is>
      </c>
      <c r="E163" s="137" t="n">
        <v>12</v>
      </c>
      <c r="F163" s="137" t="n">
        <v>6</v>
      </c>
      <c r="G163" s="137" t="n">
        <v>7165</v>
      </c>
      <c r="H163" s="137" t="n">
        <v>3726</v>
      </c>
      <c r="I163" s="137" t="n">
        <v>3439</v>
      </c>
      <c r="J163" s="138" t="n">
        <v>5971</v>
      </c>
      <c r="K163" s="138" t="n">
        <v>6210.33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元大金(2885)</t>
        </is>
      </c>
      <c r="E164" s="137" t="n">
        <v>923</v>
      </c>
      <c r="F164" s="137" t="n">
        <v>16</v>
      </c>
      <c r="G164" s="137" t="n">
        <v>6236</v>
      </c>
      <c r="H164" s="137" t="n">
        <v>107</v>
      </c>
      <c r="I164" s="137" t="n">
        <v>6129</v>
      </c>
      <c r="J164" s="138" t="n">
        <v>67.56</v>
      </c>
      <c r="K164" s="138" t="n">
        <v>67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1502</v>
      </c>
      <c r="F165" s="137" t="n">
        <v>1124</v>
      </c>
      <c r="G165" s="137" t="n">
        <v>5837</v>
      </c>
      <c r="H165" s="137" t="n">
        <v>4363</v>
      </c>
      <c r="I165" s="137" t="n">
        <v>1474</v>
      </c>
      <c r="J165" s="138" t="n">
        <v>38.86</v>
      </c>
      <c r="K165" s="138" t="n">
        <v>38.81</v>
      </c>
      <c r="L165" s="254">
        <f>F165*(K165-J165)</f>
        <v/>
      </c>
    </row>
    <row r="166" ht="16.5" customHeight="1">
      <c r="A166" s="139" t="n"/>
      <c r="B166" s="139" t="n"/>
      <c r="C166" s="139" t="n"/>
      <c r="D166" s="136" t="inlineStr">
        <is>
          <t>日月光投控(3711)</t>
        </is>
      </c>
      <c r="E166" s="137" t="n">
        <v>75</v>
      </c>
      <c r="F166" s="137" t="n">
        <v>9</v>
      </c>
      <c r="G166" s="137" t="n">
        <v>5209</v>
      </c>
      <c r="H166" s="137" t="n">
        <v>656</v>
      </c>
      <c r="I166" s="137" t="n">
        <v>4553</v>
      </c>
      <c r="J166" s="138" t="n">
        <v>694.5599999999999</v>
      </c>
      <c r="K166" s="138" t="n">
        <v>729.4400000000001</v>
      </c>
      <c r="L166" s="253">
        <f>F166*(K166-J166)</f>
        <v/>
      </c>
    </row>
    <row r="167" ht="16.5" customHeight="1">
      <c r="A167" s="140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9" t="n"/>
      <c r="B168" s="135" t="inlineStr">
        <is>
          <t>凱基-信義</t>
        </is>
      </c>
      <c r="C168" s="135" t="inlineStr">
        <is>
          <t>9216</t>
        </is>
      </c>
      <c r="D168" s="136" t="inlineStr">
        <is>
          <t>環球晶(6488)</t>
        </is>
      </c>
      <c r="E168" s="137" t="n">
        <v>810</v>
      </c>
      <c r="F168" s="137" t="n">
        <v>286</v>
      </c>
      <c r="G168" s="137" t="n">
        <v>87903</v>
      </c>
      <c r="H168" s="137" t="n">
        <v>31014</v>
      </c>
      <c r="I168" s="137" t="n">
        <v>56889</v>
      </c>
      <c r="J168" s="138" t="n">
        <v>1085.22</v>
      </c>
      <c r="K168" s="138" t="n">
        <v>1084.39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華新科(2492)</t>
        </is>
      </c>
      <c r="E169" s="137" t="n">
        <v>1359</v>
      </c>
      <c r="F169" s="137" t="n">
        <v>45</v>
      </c>
      <c r="G169" s="137" t="n">
        <v>44714</v>
      </c>
      <c r="H169" s="137" t="n">
        <v>1484</v>
      </c>
      <c r="I169" s="137" t="n">
        <v>43230</v>
      </c>
      <c r="J169" s="138" t="n">
        <v>329.02</v>
      </c>
      <c r="K169" s="138" t="n">
        <v>329.82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智邦(2345)</t>
        </is>
      </c>
      <c r="E170" s="137" t="n">
        <v>172</v>
      </c>
      <c r="F170" s="137" t="n">
        <v>1</v>
      </c>
      <c r="G170" s="137" t="n">
        <v>32602</v>
      </c>
      <c r="H170" s="137" t="n">
        <v>6</v>
      </c>
      <c r="I170" s="137" t="n">
        <v>32596</v>
      </c>
      <c r="J170" s="138" t="n">
        <v>1895.48</v>
      </c>
      <c r="K170" s="138" t="n">
        <v>57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大量(3167)</t>
        </is>
      </c>
      <c r="E171" s="137" t="n">
        <v>170</v>
      </c>
      <c r="F171" s="137" t="n">
        <v>20</v>
      </c>
      <c r="G171" s="137" t="n">
        <v>16549</v>
      </c>
      <c r="H171" s="137" t="n">
        <v>1998</v>
      </c>
      <c r="I171" s="137" t="n">
        <v>14551</v>
      </c>
      <c r="J171" s="138" t="n">
        <v>973.45</v>
      </c>
      <c r="K171" s="138" t="n">
        <v>999.15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力積電(6770)</t>
        </is>
      </c>
      <c r="E172" s="137" t="n">
        <v>1566</v>
      </c>
      <c r="F172" s="137" t="n">
        <v>17</v>
      </c>
      <c r="G172" s="137" t="n">
        <v>11664</v>
      </c>
      <c r="H172" s="137" t="n">
        <v>127</v>
      </c>
      <c r="I172" s="137" t="n">
        <v>11537</v>
      </c>
      <c r="J172" s="138" t="n">
        <v>74.48</v>
      </c>
      <c r="K172" s="138" t="n">
        <v>74.76000000000001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聯發科(2454)</t>
        </is>
      </c>
      <c r="E173" s="137" t="n">
        <v>17</v>
      </c>
      <c r="F173" s="137" t="n">
        <v>13</v>
      </c>
      <c r="G173" s="137" t="n">
        <v>8464</v>
      </c>
      <c r="H173" s="137" t="n">
        <v>6574</v>
      </c>
      <c r="I173" s="137" t="n">
        <v>1890</v>
      </c>
      <c r="J173" s="138" t="n">
        <v>4979.12</v>
      </c>
      <c r="K173" s="138" t="n">
        <v>5056.92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晶心科(6533)</t>
        </is>
      </c>
      <c r="E174" s="137" t="n">
        <v>227</v>
      </c>
      <c r="F174" s="137" t="n">
        <v>24</v>
      </c>
      <c r="G174" s="137" t="n">
        <v>8314</v>
      </c>
      <c r="H174" s="137" t="n">
        <v>874</v>
      </c>
      <c r="I174" s="137" t="n">
        <v>7440</v>
      </c>
      <c r="J174" s="138" t="n">
        <v>366.26</v>
      </c>
      <c r="K174" s="138" t="n">
        <v>364.21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奇鋐(3017)</t>
        </is>
      </c>
      <c r="E175" s="137" t="n">
        <v>20</v>
      </c>
      <c r="F175" s="137" t="n">
        <v>1</v>
      </c>
      <c r="G175" s="137" t="n">
        <v>7162</v>
      </c>
      <c r="H175" s="137" t="n">
        <v>17</v>
      </c>
      <c r="I175" s="137" t="n">
        <v>7145</v>
      </c>
      <c r="J175" s="138" t="n">
        <v>3580.9</v>
      </c>
      <c r="K175" s="138" t="n">
        <v>171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騰輝電子-KY(6672)</t>
        </is>
      </c>
      <c r="E176" s="137" t="n">
        <v>141</v>
      </c>
      <c r="F176" s="137" t="n">
        <v>1</v>
      </c>
      <c r="G176" s="137" t="n">
        <v>5707</v>
      </c>
      <c r="H176" s="137" t="n">
        <v>39</v>
      </c>
      <c r="I176" s="137" t="n">
        <v>5668</v>
      </c>
      <c r="J176" s="138" t="n">
        <v>404.72</v>
      </c>
      <c r="K176" s="138" t="n">
        <v>388</v>
      </c>
      <c r="L176" s="254">
        <f>F176*(K176-J176)</f>
        <v/>
      </c>
    </row>
    <row r="177" ht="16.5" customHeight="1">
      <c r="A177" s="139" t="n"/>
      <c r="B177" s="139" t="n"/>
      <c r="C177" s="139" t="n"/>
      <c r="D177" s="136" t="inlineStr">
        <is>
          <t>創意(3443)</t>
        </is>
      </c>
      <c r="E177" s="137" t="n">
        <v>7</v>
      </c>
      <c r="F177" s="137" t="n">
        <v>4</v>
      </c>
      <c r="G177" s="137" t="n">
        <v>5544</v>
      </c>
      <c r="H177" s="137" t="n">
        <v>3118</v>
      </c>
      <c r="I177" s="137" t="n">
        <v>2426</v>
      </c>
      <c r="J177" s="138" t="n">
        <v>7920.14</v>
      </c>
      <c r="K177" s="138" t="n">
        <v>7793.75</v>
      </c>
      <c r="L177" s="254">
        <f>F177*(K177-J177)</f>
        <v/>
      </c>
    </row>
    <row r="178" ht="16.5" customHeight="1">
      <c r="A178" s="140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9" t="n"/>
      <c r="B179" s="135" t="inlineStr">
        <is>
          <t>富邦-新店</t>
        </is>
      </c>
      <c r="C179" s="135" t="inlineStr">
        <is>
          <t>9661</t>
        </is>
      </c>
      <c r="D179" s="136" t="inlineStr">
        <is>
          <t>國巨*(2327)</t>
        </is>
      </c>
      <c r="E179" s="137" t="n">
        <v>3016</v>
      </c>
      <c r="F179" s="137" t="n">
        <v>171</v>
      </c>
      <c r="G179" s="137" t="n">
        <v>181136</v>
      </c>
      <c r="H179" s="137" t="n">
        <v>10052</v>
      </c>
      <c r="I179" s="137" t="n">
        <v>171084</v>
      </c>
      <c r="J179" s="138" t="n">
        <v>600.58</v>
      </c>
      <c r="K179" s="138" t="n">
        <v>587.83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穩懋(3105)</t>
        </is>
      </c>
      <c r="E180" s="137" t="n">
        <v>1134</v>
      </c>
      <c r="F180" s="137" t="n">
        <v>27</v>
      </c>
      <c r="G180" s="137" t="n">
        <v>60746</v>
      </c>
      <c r="H180" s="137" t="n">
        <v>1424</v>
      </c>
      <c r="I180" s="137" t="n">
        <v>59322</v>
      </c>
      <c r="J180" s="138" t="n">
        <v>535.6799999999999</v>
      </c>
      <c r="K180" s="138" t="n">
        <v>527.4400000000001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雙鴻(3324)</t>
        </is>
      </c>
      <c r="E181" s="137" t="n">
        <v>74</v>
      </c>
      <c r="F181" s="137" t="n">
        <v>4</v>
      </c>
      <c r="G181" s="137" t="n">
        <v>11299</v>
      </c>
      <c r="H181" s="137" t="n">
        <v>639</v>
      </c>
      <c r="I181" s="137" t="n">
        <v>10660</v>
      </c>
      <c r="J181" s="138" t="n">
        <v>1526.85</v>
      </c>
      <c r="K181" s="138" t="n">
        <v>1598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聯電(2303)</t>
        </is>
      </c>
      <c r="E182" s="137" t="n">
        <v>609</v>
      </c>
      <c r="F182" s="137" t="n">
        <v>185</v>
      </c>
      <c r="G182" s="137" t="n">
        <v>9746</v>
      </c>
      <c r="H182" s="137" t="n">
        <v>2944</v>
      </c>
      <c r="I182" s="137" t="n">
        <v>6802</v>
      </c>
      <c r="J182" s="138" t="n">
        <v>160.03</v>
      </c>
      <c r="K182" s="138" t="n">
        <v>159.14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聯一光(3441)</t>
        </is>
      </c>
      <c r="E183" s="137" t="n">
        <v>344</v>
      </c>
      <c r="F183" s="137" t="n">
        <v>4</v>
      </c>
      <c r="G183" s="137" t="n">
        <v>6964</v>
      </c>
      <c r="H183" s="137" t="n">
        <v>83</v>
      </c>
      <c r="I183" s="137" t="n">
        <v>6881</v>
      </c>
      <c r="J183" s="138" t="n">
        <v>202.44</v>
      </c>
      <c r="K183" s="138" t="n">
        <v>207.25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友達(2409)</t>
        </is>
      </c>
      <c r="E184" s="137" t="n">
        <v>1094</v>
      </c>
      <c r="F184" s="137" t="n">
        <v>570</v>
      </c>
      <c r="G184" s="137" t="n">
        <v>4246</v>
      </c>
      <c r="H184" s="137" t="n">
        <v>2219</v>
      </c>
      <c r="I184" s="137" t="n">
        <v>2027</v>
      </c>
      <c r="J184" s="138" t="n">
        <v>38.81</v>
      </c>
      <c r="K184" s="138" t="n">
        <v>38.93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群創(3481)</t>
        </is>
      </c>
      <c r="E185" s="137" t="n">
        <v>730</v>
      </c>
      <c r="F185" s="137" t="n">
        <v>381</v>
      </c>
      <c r="G185" s="137" t="n">
        <v>3872</v>
      </c>
      <c r="H185" s="137" t="n">
        <v>2030</v>
      </c>
      <c r="I185" s="137" t="n">
        <v>1842</v>
      </c>
      <c r="J185" s="138" t="n">
        <v>53.04</v>
      </c>
      <c r="K185" s="138" t="n">
        <v>53.27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欣興(3037)</t>
        </is>
      </c>
      <c r="E186" s="137" t="n">
        <v>25</v>
      </c>
      <c r="F186" s="137" t="n">
        <v>19</v>
      </c>
      <c r="G186" s="137" t="n">
        <v>3019</v>
      </c>
      <c r="H186" s="137" t="n">
        <v>2319</v>
      </c>
      <c r="I186" s="137" t="n">
        <v>700</v>
      </c>
      <c r="J186" s="138" t="n">
        <v>1207.52</v>
      </c>
      <c r="K186" s="138" t="n">
        <v>1220.42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台亞(2340)</t>
        </is>
      </c>
      <c r="E187" s="137" t="n">
        <v>706</v>
      </c>
      <c r="F187" s="137" t="n">
        <v>70</v>
      </c>
      <c r="G187" s="137" t="n">
        <v>2990</v>
      </c>
      <c r="H187" s="137" t="n">
        <v>306</v>
      </c>
      <c r="I187" s="137" t="n">
        <v>2684</v>
      </c>
      <c r="J187" s="138" t="n">
        <v>42.36</v>
      </c>
      <c r="K187" s="138" t="n">
        <v>43.79</v>
      </c>
      <c r="L187" s="253">
        <f>F187*(K187-J187)</f>
        <v/>
      </c>
    </row>
    <row r="188" ht="16.5" customHeight="1">
      <c r="A188" s="139" t="n"/>
      <c r="B188" s="139" t="n"/>
      <c r="C188" s="139" t="n"/>
      <c r="D188" s="136" t="inlineStr">
        <is>
          <t>京元電子(2449)</t>
        </is>
      </c>
      <c r="E188" s="137" t="n">
        <v>99</v>
      </c>
      <c r="F188" s="137" t="n">
        <v>10</v>
      </c>
      <c r="G188" s="137" t="n">
        <v>2897</v>
      </c>
      <c r="H188" s="137" t="n">
        <v>288</v>
      </c>
      <c r="I188" s="137" t="n">
        <v>2609</v>
      </c>
      <c r="J188" s="138" t="n">
        <v>292.67</v>
      </c>
      <c r="K188" s="138" t="n">
        <v>288</v>
      </c>
      <c r="L188" s="254">
        <f>F188*(K188-J188)</f>
        <v/>
      </c>
    </row>
    <row r="189" ht="16.5" customHeight="1">
      <c r="A189" s="140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9" t="n"/>
      <c r="B190" s="135" t="inlineStr">
        <is>
          <t>永豐金-內湖</t>
        </is>
      </c>
      <c r="C190" s="135" t="inlineStr">
        <is>
          <t>9A9g</t>
        </is>
      </c>
      <c r="D190" s="136" t="inlineStr">
        <is>
          <t>高力(8996)</t>
        </is>
      </c>
      <c r="E190" s="137" t="n">
        <v>33</v>
      </c>
      <c r="F190" s="137" t="n">
        <v>2</v>
      </c>
      <c r="G190" s="137" t="n">
        <v>5027</v>
      </c>
      <c r="H190" s="137" t="n">
        <v>310</v>
      </c>
      <c r="I190" s="137" t="n">
        <v>4717</v>
      </c>
      <c r="J190" s="138" t="n">
        <v>1523.33</v>
      </c>
      <c r="K190" s="138" t="n">
        <v>1552.5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友達(2409)</t>
        </is>
      </c>
      <c r="E191" s="137" t="n">
        <v>966</v>
      </c>
      <c r="F191" s="137" t="n">
        <v>890</v>
      </c>
      <c r="G191" s="137" t="n">
        <v>3774</v>
      </c>
      <c r="H191" s="137" t="n">
        <v>3497</v>
      </c>
      <c r="I191" s="137" t="n">
        <v>277</v>
      </c>
      <c r="J191" s="138" t="n">
        <v>39.07</v>
      </c>
      <c r="K191" s="138" t="n">
        <v>39.29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環球晶(6488)</t>
        </is>
      </c>
      <c r="E192" s="137" t="n">
        <v>33</v>
      </c>
      <c r="F192" s="137" t="n">
        <v>27</v>
      </c>
      <c r="G192" s="137" t="n">
        <v>3552</v>
      </c>
      <c r="H192" s="137" t="n">
        <v>2943</v>
      </c>
      <c r="I192" s="137" t="n">
        <v>609</v>
      </c>
      <c r="J192" s="138" t="n">
        <v>1076.42</v>
      </c>
      <c r="K192" s="138" t="n">
        <v>1090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亞翔(6139)</t>
        </is>
      </c>
      <c r="E193" s="137" t="n">
        <v>34</v>
      </c>
      <c r="F193" s="137" t="n">
        <v>24</v>
      </c>
      <c r="G193" s="137" t="n">
        <v>2590</v>
      </c>
      <c r="H193" s="137" t="n">
        <v>1822</v>
      </c>
      <c r="I193" s="137" t="n">
        <v>768</v>
      </c>
      <c r="J193" s="138" t="n">
        <v>761.8200000000001</v>
      </c>
      <c r="K193" s="138" t="n">
        <v>759.29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聯發科(2454)</t>
        </is>
      </c>
      <c r="E194" s="137" t="n">
        <v>4</v>
      </c>
      <c r="F194" s="137" t="n">
        <v>2</v>
      </c>
      <c r="G194" s="137" t="n">
        <v>2238</v>
      </c>
      <c r="H194" s="137" t="n">
        <v>1162</v>
      </c>
      <c r="I194" s="137" t="n">
        <v>1076</v>
      </c>
      <c r="J194" s="138" t="n">
        <v>5593.75</v>
      </c>
      <c r="K194" s="138" t="n">
        <v>5810.5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頎邦(6147)</t>
        </is>
      </c>
      <c r="E195" s="137" t="n">
        <v>94</v>
      </c>
      <c r="F195" s="137" t="n">
        <v>53</v>
      </c>
      <c r="G195" s="137" t="n">
        <v>2084</v>
      </c>
      <c r="H195" s="137" t="n">
        <v>1194</v>
      </c>
      <c r="I195" s="137" t="n">
        <v>890</v>
      </c>
      <c r="J195" s="138" t="n">
        <v>221.71</v>
      </c>
      <c r="K195" s="138" t="n">
        <v>225.28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旺矽(6223)</t>
        </is>
      </c>
      <c r="E196" s="137" t="n">
        <v>3</v>
      </c>
      <c r="F196" s="137" t="n">
        <v>1</v>
      </c>
      <c r="G196" s="137" t="n">
        <v>1681</v>
      </c>
      <c r="H196" s="137" t="n">
        <v>58</v>
      </c>
      <c r="I196" s="137" t="n">
        <v>1623</v>
      </c>
      <c r="J196" s="138" t="n">
        <v>5604</v>
      </c>
      <c r="K196" s="138" t="n">
        <v>583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9</v>
      </c>
      <c r="F197" s="137" t="n">
        <v>5</v>
      </c>
      <c r="G197" s="137" t="n">
        <v>1674</v>
      </c>
      <c r="H197" s="137" t="n">
        <v>1048</v>
      </c>
      <c r="I197" s="137" t="n">
        <v>626</v>
      </c>
      <c r="J197" s="138" t="n">
        <v>1860.56</v>
      </c>
      <c r="K197" s="138" t="n">
        <v>2095.4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藥華藥(6446)</t>
        </is>
      </c>
      <c r="E198" s="137" t="n">
        <v>14</v>
      </c>
      <c r="F198" s="137" t="n">
        <v>1</v>
      </c>
      <c r="G198" s="137" t="n">
        <v>1671</v>
      </c>
      <c r="H198" s="137" t="n">
        <v>5</v>
      </c>
      <c r="I198" s="137" t="n">
        <v>1666</v>
      </c>
      <c r="J198" s="138" t="n">
        <v>1193.64</v>
      </c>
      <c r="K198" s="138" t="n">
        <v>47</v>
      </c>
      <c r="L198" s="254">
        <f>F198*(K198-J198)</f>
        <v/>
      </c>
    </row>
    <row r="199" ht="16.5" customHeight="1">
      <c r="A199" s="139" t="n"/>
      <c r="B199" s="139" t="n"/>
      <c r="C199" s="139" t="n"/>
      <c r="D199" s="136" t="inlineStr">
        <is>
          <t>彩晶(6116)</t>
        </is>
      </c>
      <c r="E199" s="137" t="n">
        <v>934</v>
      </c>
      <c r="F199" s="137" t="n">
        <v>61</v>
      </c>
      <c r="G199" s="137" t="n">
        <v>1508</v>
      </c>
      <c r="H199" s="137" t="n">
        <v>97</v>
      </c>
      <c r="I199" s="137" t="n">
        <v>1411</v>
      </c>
      <c r="J199" s="138" t="n">
        <v>16.14</v>
      </c>
      <c r="K199" s="138" t="n">
        <v>15.97</v>
      </c>
      <c r="L199" s="254">
        <f>F199*(K199-J199)</f>
        <v/>
      </c>
    </row>
    <row r="200" ht="16.5" customHeight="1">
      <c r="A200" s="141" t="inlineStr">
        <is>
          <t>高手</t>
        </is>
      </c>
      <c r="B200" s="141" t="inlineStr">
        <is>
          <t>常下分點</t>
        </is>
      </c>
      <c r="C200" s="141" t="inlineStr">
        <is>
          <t>分點代號</t>
        </is>
      </c>
      <c r="D200" s="141" t="inlineStr">
        <is>
          <t>標的</t>
        </is>
      </c>
      <c r="E200" s="141" t="inlineStr">
        <is>
          <t>買進(張)</t>
        </is>
      </c>
      <c r="F200" s="141" t="inlineStr">
        <is>
          <t>賣出(張)</t>
        </is>
      </c>
      <c r="G200" s="141" t="inlineStr">
        <is>
          <t>買進(萬元)</t>
        </is>
      </c>
      <c r="H200" s="141" t="inlineStr">
        <is>
          <t>賣出(萬元)</t>
        </is>
      </c>
      <c r="I200" s="141" t="inlineStr">
        <is>
          <t>淨買差(萬元)</t>
        </is>
      </c>
      <c r="J200" s="141" t="inlineStr">
        <is>
          <t>買均</t>
        </is>
      </c>
      <c r="K200" s="141" t="inlineStr">
        <is>
          <t>賣均</t>
        </is>
      </c>
      <c r="L200" s="141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景碩(3189)</t>
        </is>
      </c>
      <c r="E201" s="145" t="n">
        <v>86</v>
      </c>
      <c r="F201" s="145" t="n">
        <v>7</v>
      </c>
      <c r="G201" s="145" t="n">
        <v>8558</v>
      </c>
      <c r="H201" s="145" t="n">
        <v>747</v>
      </c>
      <c r="I201" s="145" t="n">
        <v>7811</v>
      </c>
      <c r="J201" s="146" t="n">
        <v>995.09</v>
      </c>
      <c r="K201" s="146" t="n">
        <v>1066.57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光頡(3624)</t>
        </is>
      </c>
      <c r="E202" s="145" t="n">
        <v>183</v>
      </c>
      <c r="F202" s="145" t="n">
        <v>26</v>
      </c>
      <c r="G202" s="145" t="n">
        <v>2732</v>
      </c>
      <c r="H202" s="145" t="n">
        <v>392</v>
      </c>
      <c r="I202" s="145" t="n">
        <v>2340</v>
      </c>
      <c r="J202" s="146" t="n">
        <v>149.28</v>
      </c>
      <c r="K202" s="146" t="n">
        <v>150.65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牧德(3563)</t>
        </is>
      </c>
      <c r="E203" s="145" t="n">
        <v>32</v>
      </c>
      <c r="F203" s="145" t="n">
        <v>0</v>
      </c>
      <c r="G203" s="145" t="n">
        <v>2455</v>
      </c>
      <c r="H203" s="145" t="n">
        <v>8</v>
      </c>
      <c r="I203" s="145" t="n">
        <v>2447</v>
      </c>
      <c r="J203" s="146" t="n">
        <v>767.3099999999999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旺宏(2337)</t>
        </is>
      </c>
      <c r="E204" s="145" t="n">
        <v>176</v>
      </c>
      <c r="F204" s="145" t="n">
        <v>8</v>
      </c>
      <c r="G204" s="145" t="n">
        <v>2147</v>
      </c>
      <c r="H204" s="145" t="n">
        <v>97</v>
      </c>
      <c r="I204" s="145" t="n">
        <v>2050</v>
      </c>
      <c r="J204" s="146" t="n">
        <v>121.98</v>
      </c>
      <c r="K204" s="146" t="n">
        <v>121.25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禾榮科(7799)</t>
        </is>
      </c>
      <c r="E205" s="145" t="n">
        <v>30</v>
      </c>
      <c r="F205" s="145" t="n">
        <v>0</v>
      </c>
      <c r="G205" s="145" t="n">
        <v>1694</v>
      </c>
      <c r="H205" s="145" t="n">
        <v>0</v>
      </c>
      <c r="I205" s="145" t="n">
        <v>1694</v>
      </c>
      <c r="J205" s="146" t="n">
        <v>564.67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336</v>
      </c>
      <c r="F206" s="145" t="n">
        <v>201</v>
      </c>
      <c r="G206" s="145" t="n">
        <v>1298</v>
      </c>
      <c r="H206" s="145" t="n">
        <v>788</v>
      </c>
      <c r="I206" s="145" t="n">
        <v>510</v>
      </c>
      <c r="J206" s="146" t="n">
        <v>38.62</v>
      </c>
      <c r="K206" s="146" t="n">
        <v>39.2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巨虹(8084)</t>
        </is>
      </c>
      <c r="E207" s="145" t="n">
        <v>499</v>
      </c>
      <c r="F207" s="145" t="n">
        <v>0</v>
      </c>
      <c r="G207" s="145" t="n">
        <v>1208</v>
      </c>
      <c r="H207" s="145" t="n">
        <v>0</v>
      </c>
      <c r="I207" s="145" t="n">
        <v>1208</v>
      </c>
      <c r="J207" s="146" t="n">
        <v>24.2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中華化(1727)</t>
        </is>
      </c>
      <c r="E208" s="145" t="n">
        <v>99</v>
      </c>
      <c r="F208" s="145" t="n">
        <v>18</v>
      </c>
      <c r="G208" s="145" t="n">
        <v>1070</v>
      </c>
      <c r="H208" s="145" t="n">
        <v>200</v>
      </c>
      <c r="I208" s="145" t="n">
        <v>870</v>
      </c>
      <c r="J208" s="146" t="n">
        <v>108.06</v>
      </c>
      <c r="K208" s="146" t="n">
        <v>111.39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南電(8046)</t>
        </is>
      </c>
      <c r="E209" s="145" t="n">
        <v>6</v>
      </c>
      <c r="F209" s="145" t="n">
        <v>5</v>
      </c>
      <c r="G209" s="145" t="n">
        <v>855</v>
      </c>
      <c r="H209" s="145" t="n">
        <v>715</v>
      </c>
      <c r="I209" s="145" t="n">
        <v>140</v>
      </c>
      <c r="J209" s="146" t="n">
        <v>1424.33</v>
      </c>
      <c r="K209" s="146" t="n">
        <v>1429.4</v>
      </c>
      <c r="L209" s="253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雙鴻(3324)</t>
        </is>
      </c>
      <c r="E210" s="145" t="n">
        <v>5</v>
      </c>
      <c r="F210" s="145" t="n">
        <v>2</v>
      </c>
      <c r="G210" s="145" t="n">
        <v>720</v>
      </c>
      <c r="H210" s="145" t="n">
        <v>344</v>
      </c>
      <c r="I210" s="145" t="n">
        <v>376</v>
      </c>
      <c r="J210" s="146" t="n">
        <v>1439.8</v>
      </c>
      <c r="K210" s="146" t="n">
        <v>1719.5</v>
      </c>
      <c r="L210" s="253">
        <f>F210*(K210-J210)</f>
        <v/>
      </c>
    </row>
    <row r="211" ht="16.5" customHeight="1">
      <c r="A211" s="148" t="n"/>
      <c r="B211" s="141" t="inlineStr">
        <is>
          <t>常下分點</t>
        </is>
      </c>
      <c r="C211" s="141" t="inlineStr">
        <is>
          <t>分點代號</t>
        </is>
      </c>
      <c r="D211" s="141" t="inlineStr">
        <is>
          <t>標的</t>
        </is>
      </c>
      <c r="E211" s="141" t="inlineStr">
        <is>
          <t>買進(張)</t>
        </is>
      </c>
      <c r="F211" s="141" t="inlineStr">
        <is>
          <t>賣出(張)</t>
        </is>
      </c>
      <c r="G211" s="141" t="inlineStr">
        <is>
          <t>買進(萬元)</t>
        </is>
      </c>
      <c r="H211" s="141" t="inlineStr">
        <is>
          <t>賣出(萬元)</t>
        </is>
      </c>
      <c r="I211" s="141" t="inlineStr">
        <is>
          <t>淨買差(萬元)</t>
        </is>
      </c>
      <c r="J211" s="141" t="inlineStr">
        <is>
          <t>買均</t>
        </is>
      </c>
      <c r="K211" s="141" t="inlineStr">
        <is>
          <t>賣均</t>
        </is>
      </c>
      <c r="L211" s="141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國巨*(2327)</t>
        </is>
      </c>
      <c r="E212" s="145" t="n">
        <v>1349</v>
      </c>
      <c r="F212" s="145" t="n">
        <v>24</v>
      </c>
      <c r="G212" s="145" t="n">
        <v>77117</v>
      </c>
      <c r="H212" s="145" t="n">
        <v>1410</v>
      </c>
      <c r="I212" s="145" t="n">
        <v>75707</v>
      </c>
      <c r="J212" s="146" t="n">
        <v>571.66</v>
      </c>
      <c r="K212" s="146" t="n">
        <v>587.71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聯電(2303)</t>
        </is>
      </c>
      <c r="E213" s="145" t="n">
        <v>4474</v>
      </c>
      <c r="F213" s="145" t="n">
        <v>58</v>
      </c>
      <c r="G213" s="145" t="n">
        <v>71128</v>
      </c>
      <c r="H213" s="145" t="n">
        <v>917</v>
      </c>
      <c r="I213" s="145" t="n">
        <v>70211</v>
      </c>
      <c r="J213" s="146" t="n">
        <v>158.98</v>
      </c>
      <c r="K213" s="146" t="n">
        <v>158.07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凱基金(2883)</t>
        </is>
      </c>
      <c r="E214" s="145" t="n">
        <v>4347</v>
      </c>
      <c r="F214" s="145" t="n">
        <v>35</v>
      </c>
      <c r="G214" s="145" t="n">
        <v>16113</v>
      </c>
      <c r="H214" s="145" t="n">
        <v>129</v>
      </c>
      <c r="I214" s="145" t="n">
        <v>15984</v>
      </c>
      <c r="J214" s="146" t="n">
        <v>37.07</v>
      </c>
      <c r="K214" s="146" t="n">
        <v>36.86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626</v>
      </c>
      <c r="F215" s="145" t="n">
        <v>89</v>
      </c>
      <c r="G215" s="145" t="n">
        <v>13719</v>
      </c>
      <c r="H215" s="145" t="n">
        <v>1896</v>
      </c>
      <c r="I215" s="145" t="n">
        <v>11823</v>
      </c>
      <c r="J215" s="146" t="n">
        <v>219.16</v>
      </c>
      <c r="K215" s="146" t="n">
        <v>212.99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中信金(2891)</t>
        </is>
      </c>
      <c r="E216" s="145" t="n">
        <v>1878</v>
      </c>
      <c r="F216" s="145" t="n">
        <v>0</v>
      </c>
      <c r="G216" s="145" t="n">
        <v>12752</v>
      </c>
      <c r="H216" s="145" t="n">
        <v>0</v>
      </c>
      <c r="I216" s="145" t="n">
        <v>12752</v>
      </c>
      <c r="J216" s="146" t="n">
        <v>67.90000000000001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環球晶(6488)</t>
        </is>
      </c>
      <c r="E217" s="145" t="n">
        <v>78</v>
      </c>
      <c r="F217" s="145" t="n">
        <v>1</v>
      </c>
      <c r="G217" s="145" t="n">
        <v>8552</v>
      </c>
      <c r="H217" s="145" t="n">
        <v>108</v>
      </c>
      <c r="I217" s="145" t="n">
        <v>8444</v>
      </c>
      <c r="J217" s="146" t="n">
        <v>1096.4</v>
      </c>
      <c r="K217" s="146" t="n">
        <v>1080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景碩(3189)</t>
        </is>
      </c>
      <c r="E218" s="145" t="n">
        <v>68</v>
      </c>
      <c r="F218" s="145" t="n">
        <v>3</v>
      </c>
      <c r="G218" s="145" t="n">
        <v>6794</v>
      </c>
      <c r="H218" s="145" t="n">
        <v>320</v>
      </c>
      <c r="I218" s="145" t="n">
        <v>6474</v>
      </c>
      <c r="J218" s="146" t="n">
        <v>999.04</v>
      </c>
      <c r="K218" s="146" t="n">
        <v>1067.33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直得(1597)</t>
        </is>
      </c>
      <c r="E219" s="145" t="n">
        <v>329</v>
      </c>
      <c r="F219" s="145" t="n">
        <v>0</v>
      </c>
      <c r="G219" s="145" t="n">
        <v>5167</v>
      </c>
      <c r="H219" s="145" t="n">
        <v>0</v>
      </c>
      <c r="I219" s="145" t="n">
        <v>5167</v>
      </c>
      <c r="J219" s="146" t="n">
        <v>157.04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聖暉*(5536)</t>
        </is>
      </c>
      <c r="E220" s="145" t="n">
        <v>53</v>
      </c>
      <c r="F220" s="145" t="n">
        <v>1</v>
      </c>
      <c r="G220" s="145" t="n">
        <v>5063</v>
      </c>
      <c r="H220" s="145" t="n">
        <v>96</v>
      </c>
      <c r="I220" s="145" t="n">
        <v>4967</v>
      </c>
      <c r="J220" s="146" t="n">
        <v>955.36</v>
      </c>
      <c r="K220" s="146" t="n">
        <v>965</v>
      </c>
      <c r="L220" s="253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川湖(2059)</t>
        </is>
      </c>
      <c r="E221" s="145" t="n">
        <v>4</v>
      </c>
      <c r="F221" s="145" t="n">
        <v>0</v>
      </c>
      <c r="G221" s="145" t="n">
        <v>4774</v>
      </c>
      <c r="H221" s="145" t="n">
        <v>0</v>
      </c>
      <c r="I221" s="145" t="n">
        <v>4774</v>
      </c>
      <c r="J221" s="146" t="n">
        <v>11934</v>
      </c>
      <c r="K221" s="146" t="n">
        <v>0</v>
      </c>
      <c r="L221" s="253">
        <f>F221*(K221-J221)</f>
        <v/>
      </c>
    </row>
    <row r="222" ht="16.5" customHeight="1">
      <c r="A222" s="148" t="n"/>
      <c r="B222" s="141" t="inlineStr">
        <is>
          <t>常下分點</t>
        </is>
      </c>
      <c r="C222" s="141" t="inlineStr">
        <is>
          <t>分點代號</t>
        </is>
      </c>
      <c r="D222" s="141" t="inlineStr">
        <is>
          <t>標的</t>
        </is>
      </c>
      <c r="E222" s="141" t="inlineStr">
        <is>
          <t>買進(張)</t>
        </is>
      </c>
      <c r="F222" s="141" t="inlineStr">
        <is>
          <t>賣出(張)</t>
        </is>
      </c>
      <c r="G222" s="141" t="inlineStr">
        <is>
          <t>買進(萬元)</t>
        </is>
      </c>
      <c r="H222" s="141" t="inlineStr">
        <is>
          <t>賣出(萬元)</t>
        </is>
      </c>
      <c r="I222" s="141" t="inlineStr">
        <is>
          <t>淨買差(萬元)</t>
        </is>
      </c>
      <c r="J222" s="141" t="inlineStr">
        <is>
          <t>買均</t>
        </is>
      </c>
      <c r="K222" s="141" t="inlineStr">
        <is>
          <t>賣均</t>
        </is>
      </c>
      <c r="L222" s="141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國巨*(2327)</t>
        </is>
      </c>
      <c r="E223" s="145" t="n">
        <v>622</v>
      </c>
      <c r="F223" s="145" t="n">
        <v>49</v>
      </c>
      <c r="G223" s="145" t="n">
        <v>36739</v>
      </c>
      <c r="H223" s="145" t="n">
        <v>2865</v>
      </c>
      <c r="I223" s="145" t="n">
        <v>33874</v>
      </c>
      <c r="J223" s="146" t="n">
        <v>590.66</v>
      </c>
      <c r="K223" s="146" t="n">
        <v>584.78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262</v>
      </c>
      <c r="F224" s="145" t="n">
        <v>14</v>
      </c>
      <c r="G224" s="145" t="n">
        <v>21751</v>
      </c>
      <c r="H224" s="145" t="n">
        <v>1216</v>
      </c>
      <c r="I224" s="145" t="n">
        <v>20535</v>
      </c>
      <c r="J224" s="146" t="n">
        <v>830.2</v>
      </c>
      <c r="K224" s="146" t="n">
        <v>868.64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217</v>
      </c>
      <c r="F225" s="145" t="n">
        <v>3</v>
      </c>
      <c r="G225" s="145" t="n">
        <v>20071</v>
      </c>
      <c r="H225" s="145" t="n">
        <v>290</v>
      </c>
      <c r="I225" s="145" t="n">
        <v>19781</v>
      </c>
      <c r="J225" s="146" t="n">
        <v>924.95</v>
      </c>
      <c r="K225" s="146" t="n">
        <v>965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華新科(2492)</t>
        </is>
      </c>
      <c r="E226" s="145" t="n">
        <v>604</v>
      </c>
      <c r="F226" s="145" t="n">
        <v>13</v>
      </c>
      <c r="G226" s="145" t="n">
        <v>19214</v>
      </c>
      <c r="H226" s="145" t="n">
        <v>422</v>
      </c>
      <c r="I226" s="145" t="n">
        <v>18792</v>
      </c>
      <c r="J226" s="146" t="n">
        <v>318.12</v>
      </c>
      <c r="K226" s="146" t="n">
        <v>324.69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鼎元(2426)</t>
        </is>
      </c>
      <c r="E227" s="145" t="n">
        <v>847</v>
      </c>
      <c r="F227" s="145" t="n">
        <v>364</v>
      </c>
      <c r="G227" s="145" t="n">
        <v>9314</v>
      </c>
      <c r="H227" s="145" t="n">
        <v>3943</v>
      </c>
      <c r="I227" s="145" t="n">
        <v>5371</v>
      </c>
      <c r="J227" s="146" t="n">
        <v>109.96</v>
      </c>
      <c r="K227" s="146" t="n">
        <v>108.33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聯電(2303)</t>
        </is>
      </c>
      <c r="E228" s="145" t="n">
        <v>502</v>
      </c>
      <c r="F228" s="145" t="n">
        <v>86</v>
      </c>
      <c r="G228" s="145" t="n">
        <v>7911</v>
      </c>
      <c r="H228" s="145" t="n">
        <v>1351</v>
      </c>
      <c r="I228" s="145" t="n">
        <v>6560</v>
      </c>
      <c r="J228" s="146" t="n">
        <v>157.6</v>
      </c>
      <c r="K228" s="146" t="n">
        <v>157.07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8</v>
      </c>
      <c r="F229" s="145" t="n">
        <v>1</v>
      </c>
      <c r="G229" s="145" t="n">
        <v>6324</v>
      </c>
      <c r="H229" s="145" t="n">
        <v>86</v>
      </c>
      <c r="I229" s="145" t="n">
        <v>6238</v>
      </c>
      <c r="J229" s="146" t="n">
        <v>7905.38</v>
      </c>
      <c r="K229" s="146" t="n">
        <v>865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直得(1597)</t>
        </is>
      </c>
      <c r="E230" s="145" t="n">
        <v>322</v>
      </c>
      <c r="F230" s="145" t="n">
        <v>1</v>
      </c>
      <c r="G230" s="145" t="n">
        <v>4896</v>
      </c>
      <c r="H230" s="145" t="n">
        <v>15</v>
      </c>
      <c r="I230" s="145" t="n">
        <v>4881</v>
      </c>
      <c r="J230" s="146" t="n">
        <v>152.06</v>
      </c>
      <c r="K230" s="146" t="n">
        <v>146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金山電(8042)</t>
        </is>
      </c>
      <c r="E231" s="145" t="n">
        <v>401</v>
      </c>
      <c r="F231" s="145" t="n">
        <v>44</v>
      </c>
      <c r="G231" s="145" t="n">
        <v>4694</v>
      </c>
      <c r="H231" s="145" t="n">
        <v>508</v>
      </c>
      <c r="I231" s="145" t="n">
        <v>4186</v>
      </c>
      <c r="J231" s="146" t="n">
        <v>117.06</v>
      </c>
      <c r="K231" s="146" t="n">
        <v>115.5</v>
      </c>
      <c r="L231" s="254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大量(3167)</t>
        </is>
      </c>
      <c r="E232" s="145" t="n">
        <v>46</v>
      </c>
      <c r="F232" s="145" t="n">
        <v>4</v>
      </c>
      <c r="G232" s="145" t="n">
        <v>4287</v>
      </c>
      <c r="H232" s="145" t="n">
        <v>397</v>
      </c>
      <c r="I232" s="145" t="n">
        <v>3890</v>
      </c>
      <c r="J232" s="146" t="n">
        <v>931.98</v>
      </c>
      <c r="K232" s="146" t="n">
        <v>991.75</v>
      </c>
      <c r="L232" s="253">
        <f>F232*(K232-J232)</f>
        <v/>
      </c>
    </row>
    <row r="233" ht="16.5" customHeight="1">
      <c r="A233" s="148" t="n"/>
      <c r="B233" s="141" t="inlineStr">
        <is>
          <t>常下分點</t>
        </is>
      </c>
      <c r="C233" s="141" t="inlineStr">
        <is>
          <t>分點代號</t>
        </is>
      </c>
      <c r="D233" s="141" t="inlineStr">
        <is>
          <t>標的</t>
        </is>
      </c>
      <c r="E233" s="141" t="inlineStr">
        <is>
          <t>買進(張)</t>
        </is>
      </c>
      <c r="F233" s="141" t="inlineStr">
        <is>
          <t>賣出(張)</t>
        </is>
      </c>
      <c r="G233" s="141" t="inlineStr">
        <is>
          <t>買進(萬元)</t>
        </is>
      </c>
      <c r="H233" s="141" t="inlineStr">
        <is>
          <t>賣出(萬元)</t>
        </is>
      </c>
      <c r="I233" s="141" t="inlineStr">
        <is>
          <t>淨買差(萬元)</t>
        </is>
      </c>
      <c r="J233" s="141" t="inlineStr">
        <is>
          <t>買均</t>
        </is>
      </c>
      <c r="K233" s="141" t="inlineStr">
        <is>
          <t>賣均</t>
        </is>
      </c>
      <c r="L233" s="141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鼎元(2426)</t>
        </is>
      </c>
      <c r="E234" s="145" t="n">
        <v>509</v>
      </c>
      <c r="F234" s="145" t="n">
        <v>156</v>
      </c>
      <c r="G234" s="145" t="n">
        <v>5306</v>
      </c>
      <c r="H234" s="145" t="n">
        <v>1645</v>
      </c>
      <c r="I234" s="145" t="n">
        <v>3661</v>
      </c>
      <c r="J234" s="146" t="n">
        <v>104.25</v>
      </c>
      <c r="K234" s="146" t="n">
        <v>105.44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智邦(2345)</t>
        </is>
      </c>
      <c r="E235" s="145" t="n">
        <v>22</v>
      </c>
      <c r="F235" s="145" t="n">
        <v>9</v>
      </c>
      <c r="G235" s="145" t="n">
        <v>4068</v>
      </c>
      <c r="H235" s="145" t="n">
        <v>1700</v>
      </c>
      <c r="I235" s="145" t="n">
        <v>2368</v>
      </c>
      <c r="J235" s="146" t="n">
        <v>1849.09</v>
      </c>
      <c r="K235" s="146" t="n">
        <v>1889.22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華新科(2492)</t>
        </is>
      </c>
      <c r="E236" s="145" t="n">
        <v>121</v>
      </c>
      <c r="F236" s="145" t="n">
        <v>44</v>
      </c>
      <c r="G236" s="145" t="n">
        <v>3831</v>
      </c>
      <c r="H236" s="145" t="n">
        <v>1381</v>
      </c>
      <c r="I236" s="145" t="n">
        <v>2450</v>
      </c>
      <c r="J236" s="146" t="n">
        <v>316.62</v>
      </c>
      <c r="K236" s="146" t="n">
        <v>313.93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國巨*(2327)</t>
        </is>
      </c>
      <c r="E237" s="145" t="n">
        <v>62</v>
      </c>
      <c r="F237" s="145" t="n">
        <v>25</v>
      </c>
      <c r="G237" s="145" t="n">
        <v>3658</v>
      </c>
      <c r="H237" s="145" t="n">
        <v>1459</v>
      </c>
      <c r="I237" s="145" t="n">
        <v>2199</v>
      </c>
      <c r="J237" s="146" t="n">
        <v>589.95</v>
      </c>
      <c r="K237" s="146" t="n">
        <v>583.6799999999999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金居(8358)</t>
        </is>
      </c>
      <c r="E238" s="145" t="n">
        <v>54</v>
      </c>
      <c r="F238" s="145" t="n">
        <v>19</v>
      </c>
      <c r="G238" s="145" t="n">
        <v>2754</v>
      </c>
      <c r="H238" s="145" t="n">
        <v>955</v>
      </c>
      <c r="I238" s="145" t="n">
        <v>1799</v>
      </c>
      <c r="J238" s="146" t="n">
        <v>510.07</v>
      </c>
      <c r="K238" s="146" t="n">
        <v>502.47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群創(3481)</t>
        </is>
      </c>
      <c r="E239" s="145" t="n">
        <v>396</v>
      </c>
      <c r="F239" s="145" t="n">
        <v>103</v>
      </c>
      <c r="G239" s="145" t="n">
        <v>2080</v>
      </c>
      <c r="H239" s="145" t="n">
        <v>549</v>
      </c>
      <c r="I239" s="145" t="n">
        <v>1531</v>
      </c>
      <c r="J239" s="146" t="n">
        <v>52.53</v>
      </c>
      <c r="K239" s="146" t="n">
        <v>53.27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金山電(8042)</t>
        </is>
      </c>
      <c r="E240" s="145" t="n">
        <v>132</v>
      </c>
      <c r="F240" s="145" t="n">
        <v>22</v>
      </c>
      <c r="G240" s="145" t="n">
        <v>1565</v>
      </c>
      <c r="H240" s="145" t="n">
        <v>258</v>
      </c>
      <c r="I240" s="145" t="n">
        <v>1307</v>
      </c>
      <c r="J240" s="146" t="n">
        <v>118.53</v>
      </c>
      <c r="K240" s="146" t="n">
        <v>117.27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台半(5425)</t>
        </is>
      </c>
      <c r="E241" s="145" t="n">
        <v>153</v>
      </c>
      <c r="F241" s="145" t="n">
        <v>1</v>
      </c>
      <c r="G241" s="145" t="n">
        <v>1498</v>
      </c>
      <c r="H241" s="145" t="n">
        <v>5</v>
      </c>
      <c r="I241" s="145" t="n">
        <v>1493</v>
      </c>
      <c r="J241" s="146" t="n">
        <v>97.88</v>
      </c>
      <c r="K241" s="146" t="n">
        <v>52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奇鋐(3017)</t>
        </is>
      </c>
      <c r="E242" s="145" t="n">
        <v>4</v>
      </c>
      <c r="F242" s="145" t="n">
        <v>1</v>
      </c>
      <c r="G242" s="145" t="n">
        <v>1435</v>
      </c>
      <c r="H242" s="145" t="n">
        <v>434</v>
      </c>
      <c r="I242" s="145" t="n">
        <v>1001</v>
      </c>
      <c r="J242" s="146" t="n">
        <v>3588.5</v>
      </c>
      <c r="K242" s="146" t="n">
        <v>4339</v>
      </c>
      <c r="L242" s="253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玉晶光(3406)</t>
        </is>
      </c>
      <c r="E243" s="145" t="n">
        <v>12</v>
      </c>
      <c r="F243" s="145" t="n">
        <v>8</v>
      </c>
      <c r="G243" s="145" t="n">
        <v>1142</v>
      </c>
      <c r="H243" s="145" t="n">
        <v>749</v>
      </c>
      <c r="I243" s="145" t="n">
        <v>393</v>
      </c>
      <c r="J243" s="146" t="n">
        <v>951.92</v>
      </c>
      <c r="K243" s="146" t="n">
        <v>936.62</v>
      </c>
      <c r="L243" s="254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5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53">
        <f>F254*(K254-J254)</f>
        <v/>
      </c>
    </row>
    <row r="255" ht="16.5" customHeight="1">
      <c r="A255" s="156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5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53">
        <f>F265*(K265-J265)</f>
        <v/>
      </c>
    </row>
    <row r="266" ht="16.5" customHeight="1">
      <c r="A266" s="156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台積電(2330)</t>
        </is>
      </c>
      <c r="E268" s="153" t="n">
        <v>678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2498.87</v>
      </c>
      <c r="K268" s="154" t="n">
        <v>2506.87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54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54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8" t="inlineStr">
        <is>
          <t>布哥/n_nchang</t>
        </is>
      </c>
      <c r="B278" s="159" t="inlineStr">
        <is>
          <t>永豐金-敦南</t>
        </is>
      </c>
      <c r="C278" s="159" t="inlineStr">
        <is>
          <t>9A8F</t>
        </is>
      </c>
      <c r="D278" s="160" t="inlineStr">
        <is>
          <t>穩懋(3105)</t>
        </is>
      </c>
      <c r="E278" s="161" t="n">
        <v>114</v>
      </c>
      <c r="F278" s="161" t="n">
        <v>69</v>
      </c>
      <c r="G278" s="161" t="n">
        <v>6181</v>
      </c>
      <c r="H278" s="161" t="n">
        <v>3727</v>
      </c>
      <c r="I278" s="161" t="n">
        <v>2454</v>
      </c>
      <c r="J278" s="162" t="n">
        <v>542.1900000000001</v>
      </c>
      <c r="K278" s="162" t="n">
        <v>540.1900000000001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友達(2409)</t>
        </is>
      </c>
      <c r="E279" s="161" t="n">
        <v>915</v>
      </c>
      <c r="F279" s="161" t="n">
        <v>633</v>
      </c>
      <c r="G279" s="161" t="n">
        <v>3552</v>
      </c>
      <c r="H279" s="161" t="n">
        <v>2469</v>
      </c>
      <c r="I279" s="161" t="n">
        <v>1083</v>
      </c>
      <c r="J279" s="162" t="n">
        <v>38.81</v>
      </c>
      <c r="K279" s="162" t="n">
        <v>39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健策(3653)</t>
        </is>
      </c>
      <c r="E280" s="161" t="n">
        <v>5</v>
      </c>
      <c r="F280" s="161" t="n">
        <v>2</v>
      </c>
      <c r="G280" s="161" t="n">
        <v>3440</v>
      </c>
      <c r="H280" s="161" t="n">
        <v>1477</v>
      </c>
      <c r="I280" s="161" t="n">
        <v>1963</v>
      </c>
      <c r="J280" s="162" t="n">
        <v>6879</v>
      </c>
      <c r="K280" s="162" t="n">
        <v>7385.5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精測(6510)</t>
        </is>
      </c>
      <c r="E281" s="161" t="n">
        <v>11</v>
      </c>
      <c r="F281" s="161" t="n">
        <v>8</v>
      </c>
      <c r="G281" s="161" t="n">
        <v>3437</v>
      </c>
      <c r="H281" s="161" t="n">
        <v>2450</v>
      </c>
      <c r="I281" s="161" t="n">
        <v>987</v>
      </c>
      <c r="J281" s="162" t="n">
        <v>3124.27</v>
      </c>
      <c r="K281" s="162" t="n">
        <v>3062.25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貿聯-KY(3665)</t>
        </is>
      </c>
      <c r="E282" s="161" t="n">
        <v>13</v>
      </c>
      <c r="F282" s="161" t="n">
        <v>6</v>
      </c>
      <c r="G282" s="161" t="n">
        <v>3406</v>
      </c>
      <c r="H282" s="161" t="n">
        <v>1649</v>
      </c>
      <c r="I282" s="161" t="n">
        <v>1757</v>
      </c>
      <c r="J282" s="162" t="n">
        <v>2619.62</v>
      </c>
      <c r="K282" s="162" t="n">
        <v>2749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3</v>
      </c>
      <c r="F283" s="161" t="n">
        <v>1</v>
      </c>
      <c r="G283" s="161" t="n">
        <v>2414</v>
      </c>
      <c r="H283" s="161" t="n">
        <v>40</v>
      </c>
      <c r="I283" s="161" t="n">
        <v>2374</v>
      </c>
      <c r="J283" s="162" t="n">
        <v>8047</v>
      </c>
      <c r="K283" s="162" t="n">
        <v>403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力旺(3529)</t>
        </is>
      </c>
      <c r="E284" s="161" t="n">
        <v>6</v>
      </c>
      <c r="F284" s="161" t="n">
        <v>3</v>
      </c>
      <c r="G284" s="161" t="n">
        <v>1974</v>
      </c>
      <c r="H284" s="161" t="n">
        <v>1009</v>
      </c>
      <c r="I284" s="161" t="n">
        <v>965</v>
      </c>
      <c r="J284" s="162" t="n">
        <v>3290.83</v>
      </c>
      <c r="K284" s="162" t="n">
        <v>3362.33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川寶(1595)</t>
        </is>
      </c>
      <c r="E285" s="161" t="n">
        <v>214</v>
      </c>
      <c r="F285" s="161" t="n">
        <v>39</v>
      </c>
      <c r="G285" s="161" t="n">
        <v>1874</v>
      </c>
      <c r="H285" s="161" t="n">
        <v>325</v>
      </c>
      <c r="I285" s="161" t="n">
        <v>1549</v>
      </c>
      <c r="J285" s="162" t="n">
        <v>87.55</v>
      </c>
      <c r="K285" s="162" t="n">
        <v>83.31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中美晶(5483)</t>
        </is>
      </c>
      <c r="E286" s="161" t="n">
        <v>84</v>
      </c>
      <c r="F286" s="161" t="n">
        <v>62</v>
      </c>
      <c r="G286" s="161" t="n">
        <v>1786</v>
      </c>
      <c r="H286" s="161" t="n">
        <v>1303</v>
      </c>
      <c r="I286" s="161" t="n">
        <v>483</v>
      </c>
      <c r="J286" s="162" t="n">
        <v>212.58</v>
      </c>
      <c r="K286" s="162" t="n">
        <v>210.23</v>
      </c>
      <c r="L286" s="254">
        <f>F286*(K286-J286)</f>
        <v/>
      </c>
    </row>
    <row r="287" ht="16.5" customHeight="1">
      <c r="A287" s="163" t="n"/>
      <c r="B287" s="163" t="n"/>
      <c r="C287" s="163" t="n"/>
      <c r="D287" s="160" t="inlineStr">
        <is>
          <t>牧德(3563)</t>
        </is>
      </c>
      <c r="E287" s="161" t="n">
        <v>21</v>
      </c>
      <c r="F287" s="161" t="n">
        <v>3</v>
      </c>
      <c r="G287" s="161" t="n">
        <v>1607</v>
      </c>
      <c r="H287" s="161" t="n">
        <v>244</v>
      </c>
      <c r="I287" s="161" t="n">
        <v>1363</v>
      </c>
      <c r="J287" s="162" t="n">
        <v>765.24</v>
      </c>
      <c r="K287" s="162" t="n">
        <v>811.67</v>
      </c>
      <c r="L287" s="253">
        <f>F287*(K287-J287)</f>
        <v/>
      </c>
    </row>
    <row r="288" ht="16.5" customHeight="1">
      <c r="A288" s="164" t="inlineStr">
        <is>
          <t>高手</t>
        </is>
      </c>
      <c r="B288" s="164" t="inlineStr">
        <is>
          <t>分點</t>
        </is>
      </c>
      <c r="C288" s="164" t="inlineStr">
        <is>
          <t>代號</t>
        </is>
      </c>
      <c r="D288" s="164" t="inlineStr">
        <is>
          <t>標的</t>
        </is>
      </c>
      <c r="E288" s="164" t="inlineStr">
        <is>
          <t>買進(張)</t>
        </is>
      </c>
      <c r="F288" s="164" t="inlineStr">
        <is>
          <t>賣出(張)</t>
        </is>
      </c>
      <c r="G288" s="164" t="inlineStr">
        <is>
          <t>買進(萬元)</t>
        </is>
      </c>
      <c r="H288" s="164" t="inlineStr">
        <is>
          <t>賣出(萬元)</t>
        </is>
      </c>
      <c r="I288" s="164" t="inlineStr">
        <is>
          <t>淨買差(萬元)</t>
        </is>
      </c>
      <c r="J288" s="164" t="inlineStr">
        <is>
          <t>買均</t>
        </is>
      </c>
      <c r="K288" s="164" t="inlineStr">
        <is>
          <t>賣均</t>
        </is>
      </c>
      <c r="L288" s="164" t="inlineStr">
        <is>
          <t>損益(萬)</t>
        </is>
      </c>
    </row>
    <row r="289" ht="16.5" customHeight="1">
      <c r="A289" s="165" t="inlineStr">
        <is>
          <t>強森</t>
        </is>
      </c>
      <c r="B289" s="166" t="inlineStr">
        <is>
          <t>台新-五權西</t>
        </is>
      </c>
      <c r="C289" s="166" t="inlineStr">
        <is>
          <t>9B25</t>
        </is>
      </c>
      <c r="D289" s="167" t="n"/>
      <c r="E289" s="168" t="n"/>
      <c r="F289" s="168" t="n"/>
      <c r="G289" s="168" t="n"/>
      <c r="H289" s="168" t="n"/>
      <c r="I289" s="168" t="n"/>
      <c r="J289" s="169" t="n"/>
      <c r="K289" s="169" t="n"/>
      <c r="L289" s="252" t="n"/>
    </row>
    <row r="290" ht="16.5" customHeight="1">
      <c r="A290" s="170" t="n"/>
      <c r="B290" s="170" t="n"/>
      <c r="C290" s="170" t="n"/>
      <c r="D290" s="167" t="n"/>
      <c r="E290" s="168" t="n"/>
      <c r="F290" s="168" t="n"/>
      <c r="G290" s="168" t="n"/>
      <c r="H290" s="168" t="n"/>
      <c r="I290" s="168" t="n"/>
      <c r="J290" s="169" t="n"/>
      <c r="K290" s="169" t="n"/>
      <c r="L290" s="252" t="n"/>
    </row>
    <row r="291" ht="16.5" customHeight="1">
      <c r="A291" s="170" t="n"/>
      <c r="B291" s="170" t="n"/>
      <c r="C291" s="170" t="n"/>
      <c r="D291" s="167" t="n"/>
      <c r="E291" s="168" t="n"/>
      <c r="F291" s="168" t="n"/>
      <c r="G291" s="168" t="n"/>
      <c r="H291" s="168" t="n"/>
      <c r="I291" s="168" t="n"/>
      <c r="J291" s="169" t="n"/>
      <c r="K291" s="169" t="n"/>
      <c r="L291" s="252" t="n"/>
    </row>
    <row r="292" ht="16.5" customHeight="1">
      <c r="A292" s="170" t="n"/>
      <c r="B292" s="170" t="n"/>
      <c r="C292" s="170" t="n"/>
      <c r="D292" s="167" t="n"/>
      <c r="E292" s="168" t="n"/>
      <c r="F292" s="168" t="n"/>
      <c r="G292" s="168" t="n"/>
      <c r="H292" s="168" t="n"/>
      <c r="I292" s="168" t="n"/>
      <c r="J292" s="169" t="n"/>
      <c r="K292" s="169" t="n"/>
      <c r="L292" s="252" t="n"/>
    </row>
    <row r="293" ht="16.5" customHeight="1">
      <c r="A293" s="170" t="n"/>
      <c r="B293" s="170" t="n"/>
      <c r="C293" s="170" t="n"/>
      <c r="D293" s="167" t="n"/>
      <c r="E293" s="168" t="n"/>
      <c r="F293" s="168" t="n"/>
      <c r="G293" s="168" t="n"/>
      <c r="H293" s="168" t="n"/>
      <c r="I293" s="168" t="n"/>
      <c r="J293" s="169" t="n"/>
      <c r="K293" s="169" t="n"/>
      <c r="L293" s="252" t="n"/>
    </row>
    <row r="294" ht="16.5" customHeight="1">
      <c r="A294" s="170" t="n"/>
      <c r="B294" s="170" t="n"/>
      <c r="C294" s="170" t="n"/>
      <c r="D294" s="167" t="n"/>
      <c r="E294" s="168" t="n"/>
      <c r="F294" s="168" t="n"/>
      <c r="G294" s="168" t="n"/>
      <c r="H294" s="168" t="n"/>
      <c r="I294" s="168" t="n"/>
      <c r="J294" s="169" t="n"/>
      <c r="K294" s="169" t="n"/>
      <c r="L294" s="252" t="n"/>
    </row>
    <row r="295" ht="16.5" customHeight="1">
      <c r="A295" s="170" t="n"/>
      <c r="B295" s="170" t="n"/>
      <c r="C295" s="170" t="n"/>
      <c r="D295" s="167" t="n"/>
      <c r="E295" s="168" t="n"/>
      <c r="F295" s="168" t="n"/>
      <c r="G295" s="168" t="n"/>
      <c r="H295" s="168" t="n"/>
      <c r="I295" s="168" t="n"/>
      <c r="J295" s="169" t="n"/>
      <c r="K295" s="169" t="n"/>
      <c r="L295" s="252" t="n"/>
    </row>
    <row r="296" ht="16.5" customHeight="1">
      <c r="A296" s="170" t="n"/>
      <c r="B296" s="170" t="n"/>
      <c r="C296" s="170" t="n"/>
      <c r="D296" s="167" t="n"/>
      <c r="E296" s="168" t="n"/>
      <c r="F296" s="168" t="n"/>
      <c r="G296" s="168" t="n"/>
      <c r="H296" s="168" t="n"/>
      <c r="I296" s="168" t="n"/>
      <c r="J296" s="169" t="n"/>
      <c r="K296" s="169" t="n"/>
      <c r="L296" s="252" t="n"/>
    </row>
    <row r="297" ht="16.5" customHeight="1">
      <c r="A297" s="170" t="n"/>
      <c r="B297" s="170" t="n"/>
      <c r="C297" s="170" t="n"/>
      <c r="D297" s="167" t="n"/>
      <c r="E297" s="168" t="n"/>
      <c r="F297" s="168" t="n"/>
      <c r="G297" s="168" t="n"/>
      <c r="H297" s="168" t="n"/>
      <c r="I297" s="168" t="n"/>
      <c r="J297" s="169" t="n"/>
      <c r="K297" s="169" t="n"/>
      <c r="L297" s="252" t="n"/>
    </row>
    <row r="298" ht="16.5" customHeight="1">
      <c r="A298" s="170" t="n"/>
      <c r="B298" s="170" t="n"/>
      <c r="C298" s="170" t="n"/>
      <c r="D298" s="167" t="n"/>
      <c r="E298" s="168" t="n"/>
      <c r="F298" s="168" t="n"/>
      <c r="G298" s="168" t="n"/>
      <c r="H298" s="168" t="n"/>
      <c r="I298" s="168" t="n"/>
      <c r="J298" s="169" t="n"/>
      <c r="K298" s="169" t="n"/>
      <c r="L298" s="252" t="n"/>
    </row>
    <row r="299" ht="16.5" customHeight="1">
      <c r="A299" s="171" t="n"/>
      <c r="B299" s="164" t="inlineStr">
        <is>
          <t>分點</t>
        </is>
      </c>
      <c r="C299" s="164" t="inlineStr">
        <is>
          <t>代號</t>
        </is>
      </c>
      <c r="D299" s="164" t="inlineStr">
        <is>
          <t>標的</t>
        </is>
      </c>
      <c r="E299" s="164" t="inlineStr">
        <is>
          <t>買進(張)</t>
        </is>
      </c>
      <c r="F299" s="164" t="inlineStr">
        <is>
          <t>賣出(張)</t>
        </is>
      </c>
      <c r="G299" s="164" t="inlineStr">
        <is>
          <t>買進(萬元)</t>
        </is>
      </c>
      <c r="H299" s="164" t="inlineStr">
        <is>
          <t>賣出(萬元)</t>
        </is>
      </c>
      <c r="I299" s="164" t="inlineStr">
        <is>
          <t>淨買差(萬元)</t>
        </is>
      </c>
      <c r="J299" s="164" t="inlineStr">
        <is>
          <t>買均</t>
        </is>
      </c>
      <c r="K299" s="164" t="inlineStr">
        <is>
          <t>賣均</t>
        </is>
      </c>
      <c r="L299" s="164" t="inlineStr">
        <is>
          <t>損益(萬)</t>
        </is>
      </c>
    </row>
    <row r="300" ht="16.5" customHeight="1">
      <c r="A300" s="170" t="n"/>
      <c r="B300" s="166" t="inlineStr">
        <is>
          <t>台新-城中</t>
        </is>
      </c>
      <c r="C300" s="166" t="inlineStr">
        <is>
          <t>9B2E</t>
        </is>
      </c>
      <c r="D300" s="167" t="inlineStr">
        <is>
          <t>友達(2409)</t>
        </is>
      </c>
      <c r="E300" s="168" t="n">
        <v>2634</v>
      </c>
      <c r="F300" s="168" t="n">
        <v>2445</v>
      </c>
      <c r="G300" s="168" t="n">
        <v>10286</v>
      </c>
      <c r="H300" s="168" t="n">
        <v>9342</v>
      </c>
      <c r="I300" s="168" t="n">
        <v>944</v>
      </c>
      <c r="J300" s="169" t="n">
        <v>39.05</v>
      </c>
      <c r="K300" s="169" t="n">
        <v>38.21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台虹(8039)</t>
        </is>
      </c>
      <c r="E301" s="168" t="n">
        <v>132</v>
      </c>
      <c r="F301" s="168" t="n">
        <v>97</v>
      </c>
      <c r="G301" s="168" t="n">
        <v>3789</v>
      </c>
      <c r="H301" s="168" t="n">
        <v>2839</v>
      </c>
      <c r="I301" s="168" t="n">
        <v>950</v>
      </c>
      <c r="J301" s="169" t="n">
        <v>287.07</v>
      </c>
      <c r="K301" s="169" t="n">
        <v>292.65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合晶(6182)</t>
        </is>
      </c>
      <c r="E302" s="168" t="n">
        <v>284</v>
      </c>
      <c r="F302" s="168" t="n">
        <v>264</v>
      </c>
      <c r="G302" s="168" t="n">
        <v>3737</v>
      </c>
      <c r="H302" s="168" t="n">
        <v>3532</v>
      </c>
      <c r="I302" s="168" t="n">
        <v>205</v>
      </c>
      <c r="J302" s="169" t="n">
        <v>131.58</v>
      </c>
      <c r="K302" s="169" t="n">
        <v>133.77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中美晶(5483)</t>
        </is>
      </c>
      <c r="E303" s="168" t="n">
        <v>153</v>
      </c>
      <c r="F303" s="168" t="n">
        <v>138</v>
      </c>
      <c r="G303" s="168" t="n">
        <v>3232</v>
      </c>
      <c r="H303" s="168" t="n">
        <v>2921</v>
      </c>
      <c r="I303" s="168" t="n">
        <v>311</v>
      </c>
      <c r="J303" s="169" t="n">
        <v>211.24</v>
      </c>
      <c r="K303" s="169" t="n">
        <v>211.64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南電(8046)</t>
        </is>
      </c>
      <c r="E304" s="168" t="n">
        <v>22</v>
      </c>
      <c r="F304" s="168" t="n">
        <v>21</v>
      </c>
      <c r="G304" s="168" t="n">
        <v>3091</v>
      </c>
      <c r="H304" s="168" t="n">
        <v>2912</v>
      </c>
      <c r="I304" s="168" t="n">
        <v>179</v>
      </c>
      <c r="J304" s="169" t="n">
        <v>1405.14</v>
      </c>
      <c r="K304" s="169" t="n">
        <v>1386.62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20</v>
      </c>
      <c r="F305" s="168" t="n">
        <v>18</v>
      </c>
      <c r="G305" s="168" t="n">
        <v>3057</v>
      </c>
      <c r="H305" s="168" t="n">
        <v>2756</v>
      </c>
      <c r="I305" s="168" t="n">
        <v>301</v>
      </c>
      <c r="J305" s="169" t="n">
        <v>1528.5</v>
      </c>
      <c r="K305" s="169" t="n">
        <v>1531.22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今國光(6209)</t>
        </is>
      </c>
      <c r="E306" s="168" t="n">
        <v>345</v>
      </c>
      <c r="F306" s="168" t="n">
        <v>294</v>
      </c>
      <c r="G306" s="168" t="n">
        <v>2863</v>
      </c>
      <c r="H306" s="168" t="n">
        <v>2434</v>
      </c>
      <c r="I306" s="168" t="n">
        <v>429</v>
      </c>
      <c r="J306" s="169" t="n">
        <v>82.98999999999999</v>
      </c>
      <c r="K306" s="169" t="n">
        <v>82.8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群創(3481)</t>
        </is>
      </c>
      <c r="E307" s="168" t="n">
        <v>460</v>
      </c>
      <c r="F307" s="168" t="n">
        <v>226</v>
      </c>
      <c r="G307" s="168" t="n">
        <v>2470</v>
      </c>
      <c r="H307" s="168" t="n">
        <v>1200</v>
      </c>
      <c r="I307" s="168" t="n">
        <v>1270</v>
      </c>
      <c r="J307" s="169" t="n">
        <v>53.69</v>
      </c>
      <c r="K307" s="169" t="n">
        <v>53.11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群聯(8299)</t>
        </is>
      </c>
      <c r="E308" s="168" t="n">
        <v>10</v>
      </c>
      <c r="F308" s="168" t="n">
        <v>8</v>
      </c>
      <c r="G308" s="168" t="n">
        <v>2195</v>
      </c>
      <c r="H308" s="168" t="n">
        <v>1698</v>
      </c>
      <c r="I308" s="168" t="n">
        <v>497</v>
      </c>
      <c r="J308" s="169" t="n">
        <v>2194.8</v>
      </c>
      <c r="K308" s="169" t="n">
        <v>2123.12</v>
      </c>
      <c r="L308" s="254">
        <f>F308*(K308-J308)</f>
        <v/>
      </c>
    </row>
    <row r="309" ht="16.5" customHeight="1">
      <c r="A309" s="170" t="n"/>
      <c r="B309" s="170" t="n"/>
      <c r="C309" s="170" t="n"/>
      <c r="D309" s="167" t="inlineStr">
        <is>
          <t>金山電(8042)</t>
        </is>
      </c>
      <c r="E309" s="168" t="n">
        <v>153</v>
      </c>
      <c r="F309" s="168" t="n">
        <v>135</v>
      </c>
      <c r="G309" s="168" t="n">
        <v>1837</v>
      </c>
      <c r="H309" s="168" t="n">
        <v>1537</v>
      </c>
      <c r="I309" s="168" t="n">
        <v>300</v>
      </c>
      <c r="J309" s="169" t="n">
        <v>120.09</v>
      </c>
      <c r="K309" s="169" t="n">
        <v>113.82</v>
      </c>
      <c r="L309" s="254">
        <f>F309*(K309-J309)</f>
        <v/>
      </c>
    </row>
    <row r="310" ht="16.5" customHeight="1">
      <c r="A310" s="171" t="n"/>
      <c r="B310" s="164" t="inlineStr">
        <is>
          <t>分點</t>
        </is>
      </c>
      <c r="C310" s="164" t="inlineStr">
        <is>
          <t>代號</t>
        </is>
      </c>
      <c r="D310" s="164" t="inlineStr">
        <is>
          <t>標的</t>
        </is>
      </c>
      <c r="E310" s="164" t="inlineStr">
        <is>
          <t>買進(張)</t>
        </is>
      </c>
      <c r="F310" s="164" t="inlineStr">
        <is>
          <t>賣出(張)</t>
        </is>
      </c>
      <c r="G310" s="164" t="inlineStr">
        <is>
          <t>買進(萬元)</t>
        </is>
      </c>
      <c r="H310" s="164" t="inlineStr">
        <is>
          <t>賣出(萬元)</t>
        </is>
      </c>
      <c r="I310" s="164" t="inlineStr">
        <is>
          <t>淨買差(萬元)</t>
        </is>
      </c>
      <c r="J310" s="164" t="inlineStr">
        <is>
          <t>買均</t>
        </is>
      </c>
      <c r="K310" s="164" t="inlineStr">
        <is>
          <t>賣均</t>
        </is>
      </c>
      <c r="L310" s="164" t="inlineStr">
        <is>
          <t>損益(萬)</t>
        </is>
      </c>
    </row>
    <row r="311" ht="16.5" customHeight="1">
      <c r="A311" s="170" t="n"/>
      <c r="B311" s="166" t="inlineStr">
        <is>
          <t>台新-城東</t>
        </is>
      </c>
      <c r="C311" s="166" t="inlineStr">
        <is>
          <t>9B2r</t>
        </is>
      </c>
      <c r="D311" s="167" t="inlineStr">
        <is>
          <t>南電(8046)</t>
        </is>
      </c>
      <c r="E311" s="168" t="n">
        <v>81</v>
      </c>
      <c r="F311" s="168" t="n">
        <v>11</v>
      </c>
      <c r="G311" s="168" t="n">
        <v>11533</v>
      </c>
      <c r="H311" s="168" t="n">
        <v>1562</v>
      </c>
      <c r="I311" s="168" t="n">
        <v>9971</v>
      </c>
      <c r="J311" s="169" t="n">
        <v>1423.8</v>
      </c>
      <c r="K311" s="169" t="n">
        <v>1420.18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環球晶(6488)</t>
        </is>
      </c>
      <c r="E312" s="168" t="n">
        <v>100</v>
      </c>
      <c r="F312" s="168" t="n">
        <v>24</v>
      </c>
      <c r="G312" s="168" t="n">
        <v>11086</v>
      </c>
      <c r="H312" s="168" t="n">
        <v>2588</v>
      </c>
      <c r="I312" s="168" t="n">
        <v>8498</v>
      </c>
      <c r="J312" s="169" t="n">
        <v>1108.6</v>
      </c>
      <c r="K312" s="169" t="n">
        <v>1078.33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臺企銀(2834)</t>
        </is>
      </c>
      <c r="E313" s="168" t="n">
        <v>5719</v>
      </c>
      <c r="F313" s="168" t="n">
        <v>228</v>
      </c>
      <c r="G313" s="168" t="n">
        <v>10036</v>
      </c>
      <c r="H313" s="168" t="n">
        <v>397</v>
      </c>
      <c r="I313" s="168" t="n">
        <v>9639</v>
      </c>
      <c r="J313" s="169" t="n">
        <v>17.55</v>
      </c>
      <c r="K313" s="169" t="n">
        <v>17.43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景碩(3189)</t>
        </is>
      </c>
      <c r="E314" s="168" t="n">
        <v>90</v>
      </c>
      <c r="F314" s="168" t="n">
        <v>29</v>
      </c>
      <c r="G314" s="168" t="n">
        <v>8906</v>
      </c>
      <c r="H314" s="168" t="n">
        <v>2909</v>
      </c>
      <c r="I314" s="168" t="n">
        <v>5997</v>
      </c>
      <c r="J314" s="169" t="n">
        <v>989.51</v>
      </c>
      <c r="K314" s="169" t="n">
        <v>1003.1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友達(2409)</t>
        </is>
      </c>
      <c r="E315" s="168" t="n">
        <v>1343</v>
      </c>
      <c r="F315" s="168" t="n">
        <v>357</v>
      </c>
      <c r="G315" s="168" t="n">
        <v>5256</v>
      </c>
      <c r="H315" s="168" t="n">
        <v>1391</v>
      </c>
      <c r="I315" s="168" t="n">
        <v>3865</v>
      </c>
      <c r="J315" s="169" t="n">
        <v>39.13</v>
      </c>
      <c r="K315" s="169" t="n">
        <v>38.97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台達電(2308)</t>
        </is>
      </c>
      <c r="E316" s="168" t="n">
        <v>21</v>
      </c>
      <c r="F316" s="168" t="n">
        <v>4</v>
      </c>
      <c r="G316" s="168" t="n">
        <v>3927</v>
      </c>
      <c r="H316" s="168" t="n">
        <v>773</v>
      </c>
      <c r="I316" s="168" t="n">
        <v>3154</v>
      </c>
      <c r="J316" s="169" t="n">
        <v>1870.05</v>
      </c>
      <c r="K316" s="169" t="n">
        <v>1932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台虹(8039)</t>
        </is>
      </c>
      <c r="E317" s="168" t="n">
        <v>73</v>
      </c>
      <c r="F317" s="168" t="n">
        <v>51</v>
      </c>
      <c r="G317" s="168" t="n">
        <v>2114</v>
      </c>
      <c r="H317" s="168" t="n">
        <v>1467</v>
      </c>
      <c r="I317" s="168" t="n">
        <v>647</v>
      </c>
      <c r="J317" s="169" t="n">
        <v>289.56</v>
      </c>
      <c r="K317" s="169" t="n">
        <v>287.57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大立光(3008)</t>
        </is>
      </c>
      <c r="E318" s="168" t="n">
        <v>3</v>
      </c>
      <c r="F318" s="168" t="n">
        <v>2</v>
      </c>
      <c r="G318" s="168" t="n">
        <v>1993</v>
      </c>
      <c r="H318" s="168" t="n">
        <v>1348</v>
      </c>
      <c r="I318" s="168" t="n">
        <v>645</v>
      </c>
      <c r="J318" s="169" t="n">
        <v>6643.33</v>
      </c>
      <c r="K318" s="169" t="n">
        <v>6739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中美晶(5483)</t>
        </is>
      </c>
      <c r="E319" s="168" t="n">
        <v>89</v>
      </c>
      <c r="F319" s="168" t="n">
        <v>37</v>
      </c>
      <c r="G319" s="168" t="n">
        <v>1879</v>
      </c>
      <c r="H319" s="168" t="n">
        <v>795</v>
      </c>
      <c r="I319" s="168" t="n">
        <v>1084</v>
      </c>
      <c r="J319" s="169" t="n">
        <v>211.12</v>
      </c>
      <c r="K319" s="169" t="n">
        <v>214.92</v>
      </c>
      <c r="L319" s="253">
        <f>F319*(K319-J319)</f>
        <v/>
      </c>
    </row>
    <row r="320" ht="16.5" customHeight="1">
      <c r="A320" s="170" t="n"/>
      <c r="B320" s="170" t="n"/>
      <c r="C320" s="170" t="n"/>
      <c r="D320" s="167" t="inlineStr">
        <is>
          <t>愛普*(6531)</t>
        </is>
      </c>
      <c r="E320" s="168" t="n">
        <v>20</v>
      </c>
      <c r="F320" s="168" t="n">
        <v>0</v>
      </c>
      <c r="G320" s="168" t="n">
        <v>1851</v>
      </c>
      <c r="H320" s="168" t="n">
        <v>0</v>
      </c>
      <c r="I320" s="168" t="n">
        <v>1851</v>
      </c>
      <c r="J320" s="169" t="n">
        <v>925.5</v>
      </c>
      <c r="K320" s="169" t="n">
        <v>0</v>
      </c>
      <c r="L320" s="253">
        <f>F320*(K320-J320)</f>
        <v/>
      </c>
    </row>
    <row r="321" ht="16.5" customHeight="1">
      <c r="A321" s="171" t="n"/>
      <c r="B321" s="164" t="inlineStr">
        <is>
          <t>分點</t>
        </is>
      </c>
      <c r="C321" s="164" t="inlineStr">
        <is>
          <t>代號</t>
        </is>
      </c>
      <c r="D321" s="164" t="inlineStr">
        <is>
          <t>標的</t>
        </is>
      </c>
      <c r="E321" s="164" t="inlineStr">
        <is>
          <t>買進(張)</t>
        </is>
      </c>
      <c r="F321" s="164" t="inlineStr">
        <is>
          <t>賣出(張)</t>
        </is>
      </c>
      <c r="G321" s="164" t="inlineStr">
        <is>
          <t>買進(萬元)</t>
        </is>
      </c>
      <c r="H321" s="164" t="inlineStr">
        <is>
          <t>賣出(萬元)</t>
        </is>
      </c>
      <c r="I321" s="164" t="inlineStr">
        <is>
          <t>淨買差(萬元)</t>
        </is>
      </c>
      <c r="J321" s="164" t="inlineStr">
        <is>
          <t>買均</t>
        </is>
      </c>
      <c r="K321" s="164" t="inlineStr">
        <is>
          <t>賣均</t>
        </is>
      </c>
      <c r="L321" s="164" t="inlineStr">
        <is>
          <t>損益(萬)</t>
        </is>
      </c>
    </row>
    <row r="322" ht="16.5" customHeight="1">
      <c r="A322" s="170" t="n"/>
      <c r="B322" s="166" t="inlineStr">
        <is>
          <t>元大-館前</t>
        </is>
      </c>
      <c r="C322" s="166" t="inlineStr">
        <is>
          <t>984K</t>
        </is>
      </c>
      <c r="D322" s="167" t="inlineStr">
        <is>
          <t>環球晶(6488)</t>
        </is>
      </c>
      <c r="E322" s="168" t="n">
        <v>215</v>
      </c>
      <c r="F322" s="168" t="n">
        <v>28</v>
      </c>
      <c r="G322" s="168" t="n">
        <v>23600</v>
      </c>
      <c r="H322" s="168" t="n">
        <v>3138</v>
      </c>
      <c r="I322" s="168" t="n">
        <v>20462</v>
      </c>
      <c r="J322" s="169" t="n">
        <v>1097.68</v>
      </c>
      <c r="K322" s="169" t="n">
        <v>1120.68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創意(3443)</t>
        </is>
      </c>
      <c r="E323" s="168" t="n">
        <v>17</v>
      </c>
      <c r="F323" s="168" t="n">
        <v>1</v>
      </c>
      <c r="G323" s="168" t="n">
        <v>13293</v>
      </c>
      <c r="H323" s="168" t="n">
        <v>39</v>
      </c>
      <c r="I323" s="168" t="n">
        <v>13254</v>
      </c>
      <c r="J323" s="169" t="n">
        <v>7819.41</v>
      </c>
      <c r="K323" s="169" t="n">
        <v>394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大立光(3008)</t>
        </is>
      </c>
      <c r="E324" s="168" t="n">
        <v>17</v>
      </c>
      <c r="F324" s="168" t="n">
        <v>2</v>
      </c>
      <c r="G324" s="168" t="n">
        <v>10300</v>
      </c>
      <c r="H324" s="168" t="n">
        <v>1529</v>
      </c>
      <c r="I324" s="168" t="n">
        <v>8771</v>
      </c>
      <c r="J324" s="169" t="n">
        <v>6059</v>
      </c>
      <c r="K324" s="169" t="n">
        <v>7646.5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奇鋐(3017)</t>
        </is>
      </c>
      <c r="E325" s="168" t="n">
        <v>16</v>
      </c>
      <c r="F325" s="168" t="n">
        <v>7</v>
      </c>
      <c r="G325" s="168" t="n">
        <v>5471</v>
      </c>
      <c r="H325" s="168" t="n">
        <v>2406</v>
      </c>
      <c r="I325" s="168" t="n">
        <v>3065</v>
      </c>
      <c r="J325" s="169" t="n">
        <v>3419.56</v>
      </c>
      <c r="K325" s="169" t="n">
        <v>3437.43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富喬(1815)</t>
        </is>
      </c>
      <c r="E326" s="168" t="n">
        <v>442</v>
      </c>
      <c r="F326" s="168" t="n">
        <v>176</v>
      </c>
      <c r="G326" s="168" t="n">
        <v>5183</v>
      </c>
      <c r="H326" s="168" t="n">
        <v>2043</v>
      </c>
      <c r="I326" s="168" t="n">
        <v>3140</v>
      </c>
      <c r="J326" s="169" t="n">
        <v>117.27</v>
      </c>
      <c r="K326" s="169" t="n">
        <v>116.1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彩晶(6116)</t>
        </is>
      </c>
      <c r="E327" s="168" t="n">
        <v>2981</v>
      </c>
      <c r="F327" s="168" t="n">
        <v>12</v>
      </c>
      <c r="G327" s="168" t="n">
        <v>4678</v>
      </c>
      <c r="H327" s="168" t="n">
        <v>19</v>
      </c>
      <c r="I327" s="168" t="n">
        <v>4659</v>
      </c>
      <c r="J327" s="169" t="n">
        <v>15.69</v>
      </c>
      <c r="K327" s="169" t="n">
        <v>15.75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合晶(6182)</t>
        </is>
      </c>
      <c r="E328" s="168" t="n">
        <v>343</v>
      </c>
      <c r="F328" s="168" t="n">
        <v>264</v>
      </c>
      <c r="G328" s="168" t="n">
        <v>4605</v>
      </c>
      <c r="H328" s="168" t="n">
        <v>3541</v>
      </c>
      <c r="I328" s="168" t="n">
        <v>1064</v>
      </c>
      <c r="J328" s="169" t="n">
        <v>134.25</v>
      </c>
      <c r="K328" s="169" t="n">
        <v>134.13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聯發科(2454)</t>
        </is>
      </c>
      <c r="E329" s="168" t="n">
        <v>9</v>
      </c>
      <c r="F329" s="168" t="n">
        <v>6</v>
      </c>
      <c r="G329" s="168" t="n">
        <v>4322</v>
      </c>
      <c r="H329" s="168" t="n">
        <v>3043</v>
      </c>
      <c r="I329" s="168" t="n">
        <v>1279</v>
      </c>
      <c r="J329" s="169" t="n">
        <v>4801.89</v>
      </c>
      <c r="K329" s="169" t="n">
        <v>5071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矽格(6257)</t>
        </is>
      </c>
      <c r="E330" s="168" t="n">
        <v>110</v>
      </c>
      <c r="F330" s="168" t="n">
        <v>6</v>
      </c>
      <c r="G330" s="168" t="n">
        <v>2817</v>
      </c>
      <c r="H330" s="168" t="n">
        <v>154</v>
      </c>
      <c r="I330" s="168" t="n">
        <v>2663</v>
      </c>
      <c r="J330" s="169" t="n">
        <v>256.11</v>
      </c>
      <c r="K330" s="169" t="n">
        <v>256</v>
      </c>
      <c r="L330" s="254">
        <f>F330*(K330-J330)</f>
        <v/>
      </c>
    </row>
    <row r="331" ht="16.5" customHeight="1">
      <c r="A331" s="170" t="n"/>
      <c r="B331" s="170" t="n"/>
      <c r="C331" s="170" t="n"/>
      <c r="D331" s="167" t="inlineStr">
        <is>
          <t>臻鼎-KY(4958)</t>
        </is>
      </c>
      <c r="E331" s="168" t="n">
        <v>46</v>
      </c>
      <c r="F331" s="168" t="n">
        <v>11</v>
      </c>
      <c r="G331" s="168" t="n">
        <v>2348</v>
      </c>
      <c r="H331" s="168" t="n">
        <v>562</v>
      </c>
      <c r="I331" s="168" t="n">
        <v>1786</v>
      </c>
      <c r="J331" s="169" t="n">
        <v>510.52</v>
      </c>
      <c r="K331" s="169" t="n">
        <v>511</v>
      </c>
      <c r="L331" s="253">
        <f>F331*(K331-J331)</f>
        <v/>
      </c>
    </row>
    <row r="332" ht="16.5" customHeight="1">
      <c r="A332" s="171" t="n"/>
      <c r="B332" s="164" t="inlineStr">
        <is>
          <t>分點</t>
        </is>
      </c>
      <c r="C332" s="164" t="inlineStr">
        <is>
          <t>代號</t>
        </is>
      </c>
      <c r="D332" s="164" t="inlineStr">
        <is>
          <t>標的</t>
        </is>
      </c>
      <c r="E332" s="164" t="inlineStr">
        <is>
          <t>買進(張)</t>
        </is>
      </c>
      <c r="F332" s="164" t="inlineStr">
        <is>
          <t>賣出(張)</t>
        </is>
      </c>
      <c r="G332" s="164" t="inlineStr">
        <is>
          <t>買進(萬元)</t>
        </is>
      </c>
      <c r="H332" s="164" t="inlineStr">
        <is>
          <t>賣出(萬元)</t>
        </is>
      </c>
      <c r="I332" s="164" t="inlineStr">
        <is>
          <t>淨買差(萬元)</t>
        </is>
      </c>
      <c r="J332" s="164" t="inlineStr">
        <is>
          <t>買均</t>
        </is>
      </c>
      <c r="K332" s="164" t="inlineStr">
        <is>
          <t>賣均</t>
        </is>
      </c>
      <c r="L332" s="164" t="inlineStr">
        <is>
          <t>損益(萬)</t>
        </is>
      </c>
    </row>
    <row r="333" ht="16.5" customHeight="1">
      <c r="A333" s="170" t="n"/>
      <c r="B333" s="166" t="inlineStr">
        <is>
          <t>元大-內湖</t>
        </is>
      </c>
      <c r="C333" s="166" t="inlineStr">
        <is>
          <t>989N</t>
        </is>
      </c>
      <c r="D333" s="167" t="inlineStr">
        <is>
          <t>聯亞(3081)</t>
        </is>
      </c>
      <c r="E333" s="168" t="n">
        <v>50</v>
      </c>
      <c r="F333" s="168" t="n">
        <v>0</v>
      </c>
      <c r="G333" s="168" t="n">
        <v>13299</v>
      </c>
      <c r="H333" s="168" t="n">
        <v>0</v>
      </c>
      <c r="I333" s="168" t="n">
        <v>13299</v>
      </c>
      <c r="J333" s="169" t="n">
        <v>2659.76</v>
      </c>
      <c r="K333" s="169" t="n">
        <v>0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環球晶(6488)</t>
        </is>
      </c>
      <c r="E334" s="168" t="n">
        <v>66</v>
      </c>
      <c r="F334" s="168" t="n">
        <v>16</v>
      </c>
      <c r="G334" s="168" t="n">
        <v>7089</v>
      </c>
      <c r="H334" s="168" t="n">
        <v>1775</v>
      </c>
      <c r="I334" s="168" t="n">
        <v>5314</v>
      </c>
      <c r="J334" s="169" t="n">
        <v>1074.06</v>
      </c>
      <c r="K334" s="169" t="n">
        <v>1109.5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勤凱(4760)</t>
        </is>
      </c>
      <c r="E335" s="168" t="n">
        <v>146</v>
      </c>
      <c r="F335" s="168" t="n">
        <v>0</v>
      </c>
      <c r="G335" s="168" t="n">
        <v>4178</v>
      </c>
      <c r="H335" s="168" t="n">
        <v>0</v>
      </c>
      <c r="I335" s="168" t="n">
        <v>4178</v>
      </c>
      <c r="J335" s="169" t="n">
        <v>286.18</v>
      </c>
      <c r="K335" s="169" t="n">
        <v>0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友達(2409)</t>
        </is>
      </c>
      <c r="E336" s="168" t="n">
        <v>1057</v>
      </c>
      <c r="F336" s="168" t="n">
        <v>654</v>
      </c>
      <c r="G336" s="168" t="n">
        <v>4113</v>
      </c>
      <c r="H336" s="168" t="n">
        <v>2523</v>
      </c>
      <c r="I336" s="168" t="n">
        <v>1590</v>
      </c>
      <c r="J336" s="169" t="n">
        <v>38.92</v>
      </c>
      <c r="K336" s="169" t="n">
        <v>38.58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聯茂(6213)</t>
        </is>
      </c>
      <c r="E337" s="168" t="n">
        <v>58</v>
      </c>
      <c r="F337" s="168" t="n">
        <v>11</v>
      </c>
      <c r="G337" s="168" t="n">
        <v>3593</v>
      </c>
      <c r="H337" s="168" t="n">
        <v>721</v>
      </c>
      <c r="I337" s="168" t="n">
        <v>2872</v>
      </c>
      <c r="J337" s="169" t="n">
        <v>619.47</v>
      </c>
      <c r="K337" s="169" t="n">
        <v>655.1799999999999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5</v>
      </c>
      <c r="F338" s="168" t="n">
        <v>3</v>
      </c>
      <c r="G338" s="168" t="n">
        <v>3257</v>
      </c>
      <c r="H338" s="168" t="n">
        <v>2005</v>
      </c>
      <c r="I338" s="168" t="n">
        <v>1252</v>
      </c>
      <c r="J338" s="169" t="n">
        <v>6514.4</v>
      </c>
      <c r="K338" s="169" t="n">
        <v>6683.33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倉和(6538)</t>
        </is>
      </c>
      <c r="E339" s="168" t="n">
        <v>75</v>
      </c>
      <c r="F339" s="168" t="n">
        <v>3</v>
      </c>
      <c r="G339" s="168" t="n">
        <v>2719</v>
      </c>
      <c r="H339" s="168" t="n">
        <v>106</v>
      </c>
      <c r="I339" s="168" t="n">
        <v>2613</v>
      </c>
      <c r="J339" s="169" t="n">
        <v>362.57</v>
      </c>
      <c r="K339" s="169" t="n">
        <v>353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群創(3481)</t>
        </is>
      </c>
      <c r="E340" s="168" t="n">
        <v>446</v>
      </c>
      <c r="F340" s="168" t="n">
        <v>268</v>
      </c>
      <c r="G340" s="168" t="n">
        <v>2374</v>
      </c>
      <c r="H340" s="168" t="n">
        <v>1417</v>
      </c>
      <c r="I340" s="168" t="n">
        <v>957</v>
      </c>
      <c r="J340" s="169" t="n">
        <v>53.23</v>
      </c>
      <c r="K340" s="169" t="n">
        <v>52.89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合晶(6182)</t>
        </is>
      </c>
      <c r="E341" s="168" t="n">
        <v>177</v>
      </c>
      <c r="F341" s="168" t="n">
        <v>127</v>
      </c>
      <c r="G341" s="168" t="n">
        <v>2362</v>
      </c>
      <c r="H341" s="168" t="n">
        <v>1662</v>
      </c>
      <c r="I341" s="168" t="n">
        <v>700</v>
      </c>
      <c r="J341" s="169" t="n">
        <v>133.42</v>
      </c>
      <c r="K341" s="169" t="n">
        <v>130.88</v>
      </c>
      <c r="L341" s="254">
        <f>F341*(K341-J341)</f>
        <v/>
      </c>
    </row>
    <row r="342" ht="16.5" customHeight="1">
      <c r="A342" s="170" t="n"/>
      <c r="B342" s="170" t="n"/>
      <c r="C342" s="170" t="n"/>
      <c r="D342" s="167" t="inlineStr">
        <is>
          <t>金居(8358)</t>
        </is>
      </c>
      <c r="E342" s="168" t="n">
        <v>41</v>
      </c>
      <c r="F342" s="168" t="n">
        <v>32</v>
      </c>
      <c r="G342" s="168" t="n">
        <v>2059</v>
      </c>
      <c r="H342" s="168" t="n">
        <v>1593</v>
      </c>
      <c r="I342" s="168" t="n">
        <v>466</v>
      </c>
      <c r="J342" s="169" t="n">
        <v>502.2</v>
      </c>
      <c r="K342" s="169" t="n">
        <v>497.72</v>
      </c>
      <c r="L342" s="254">
        <f>F342*(K342-J342)</f>
        <v/>
      </c>
    </row>
    <row r="343" ht="16.5" customHeight="1">
      <c r="A343" s="171" t="n"/>
      <c r="B343" s="164" t="inlineStr">
        <is>
          <t>分點</t>
        </is>
      </c>
      <c r="C343" s="164" t="inlineStr">
        <is>
          <t>代號</t>
        </is>
      </c>
      <c r="D343" s="164" t="inlineStr">
        <is>
          <t>標的</t>
        </is>
      </c>
      <c r="E343" s="164" t="inlineStr">
        <is>
          <t>買進(張)</t>
        </is>
      </c>
      <c r="F343" s="164" t="inlineStr">
        <is>
          <t>賣出(張)</t>
        </is>
      </c>
      <c r="G343" s="164" t="inlineStr">
        <is>
          <t>買進(萬元)</t>
        </is>
      </c>
      <c r="H343" s="164" t="inlineStr">
        <is>
          <t>賣出(萬元)</t>
        </is>
      </c>
      <c r="I343" s="164" t="inlineStr">
        <is>
          <t>淨買差(萬元)</t>
        </is>
      </c>
      <c r="J343" s="164" t="inlineStr">
        <is>
          <t>買均</t>
        </is>
      </c>
      <c r="K343" s="164" t="inlineStr">
        <is>
          <t>賣均</t>
        </is>
      </c>
      <c r="L343" s="164" t="inlineStr">
        <is>
          <t>損益(萬)</t>
        </is>
      </c>
    </row>
    <row r="344" ht="16.5" customHeight="1">
      <c r="A344" s="170" t="n"/>
      <c r="B344" s="166" t="inlineStr">
        <is>
          <t>凱基-高美館</t>
        </is>
      </c>
      <c r="C344" s="166" t="inlineStr">
        <is>
          <t>9215</t>
        </is>
      </c>
      <c r="D344" s="167" t="inlineStr">
        <is>
          <t>台積電(2330)</t>
        </is>
      </c>
      <c r="E344" s="168" t="n">
        <v>77</v>
      </c>
      <c r="F344" s="168" t="n">
        <v>31</v>
      </c>
      <c r="G344" s="168" t="n">
        <v>19262</v>
      </c>
      <c r="H344" s="168" t="n">
        <v>7771</v>
      </c>
      <c r="I344" s="168" t="n">
        <v>11491</v>
      </c>
      <c r="J344" s="169" t="n">
        <v>2501.49</v>
      </c>
      <c r="K344" s="169" t="n">
        <v>2506.84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友達(2409)</t>
        </is>
      </c>
      <c r="E345" s="168" t="n">
        <v>1443</v>
      </c>
      <c r="F345" s="168" t="n">
        <v>1220</v>
      </c>
      <c r="G345" s="168" t="n">
        <v>5638</v>
      </c>
      <c r="H345" s="168" t="n">
        <v>4726</v>
      </c>
      <c r="I345" s="168" t="n">
        <v>912</v>
      </c>
      <c r="J345" s="169" t="n">
        <v>39.07</v>
      </c>
      <c r="K345" s="169" t="n">
        <v>38.74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川湖(2059)</t>
        </is>
      </c>
      <c r="E346" s="168" t="n">
        <v>2</v>
      </c>
      <c r="F346" s="168" t="n">
        <v>1</v>
      </c>
      <c r="G346" s="168" t="n">
        <v>2789</v>
      </c>
      <c r="H346" s="168" t="n">
        <v>1191</v>
      </c>
      <c r="I346" s="168" t="n">
        <v>1598</v>
      </c>
      <c r="J346" s="169" t="n">
        <v>13946</v>
      </c>
      <c r="K346" s="169" t="n">
        <v>11907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合晶(6182)</t>
        </is>
      </c>
      <c r="E347" s="168" t="n">
        <v>208</v>
      </c>
      <c r="F347" s="168" t="n">
        <v>142</v>
      </c>
      <c r="G347" s="168" t="n">
        <v>2786</v>
      </c>
      <c r="H347" s="168" t="n">
        <v>1875</v>
      </c>
      <c r="I347" s="168" t="n">
        <v>911</v>
      </c>
      <c r="J347" s="169" t="n">
        <v>133.93</v>
      </c>
      <c r="K347" s="169" t="n">
        <v>132.04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群創(3481)</t>
        </is>
      </c>
      <c r="E348" s="168" t="n">
        <v>490</v>
      </c>
      <c r="F348" s="168" t="n">
        <v>238</v>
      </c>
      <c r="G348" s="168" t="n">
        <v>2620</v>
      </c>
      <c r="H348" s="168" t="n">
        <v>1258</v>
      </c>
      <c r="I348" s="168" t="n">
        <v>1362</v>
      </c>
      <c r="J348" s="169" t="n">
        <v>53.47</v>
      </c>
      <c r="K348" s="169" t="n">
        <v>52.85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穩懋(3105)</t>
        </is>
      </c>
      <c r="E349" s="168" t="n">
        <v>29</v>
      </c>
      <c r="F349" s="168" t="n">
        <v>6</v>
      </c>
      <c r="G349" s="168" t="n">
        <v>1567</v>
      </c>
      <c r="H349" s="168" t="n">
        <v>319</v>
      </c>
      <c r="I349" s="168" t="n">
        <v>1248</v>
      </c>
      <c r="J349" s="169" t="n">
        <v>540.3099999999999</v>
      </c>
      <c r="K349" s="169" t="n">
        <v>531.17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聯發科(2454)</t>
        </is>
      </c>
      <c r="E350" s="168" t="n">
        <v>3</v>
      </c>
      <c r="F350" s="168" t="n">
        <v>1</v>
      </c>
      <c r="G350" s="168" t="n">
        <v>1314</v>
      </c>
      <c r="H350" s="168" t="n">
        <v>570</v>
      </c>
      <c r="I350" s="168" t="n">
        <v>744</v>
      </c>
      <c r="J350" s="169" t="n">
        <v>4378.33</v>
      </c>
      <c r="K350" s="169" t="n">
        <v>5705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巨有科技(8227)</t>
        </is>
      </c>
      <c r="E351" s="168" t="n">
        <v>33</v>
      </c>
      <c r="F351" s="168" t="n">
        <v>19</v>
      </c>
      <c r="G351" s="168" t="n">
        <v>1217</v>
      </c>
      <c r="H351" s="168" t="n">
        <v>677</v>
      </c>
      <c r="I351" s="168" t="n">
        <v>540</v>
      </c>
      <c r="J351" s="169" t="n">
        <v>368.76</v>
      </c>
      <c r="K351" s="169" t="n">
        <v>356.37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南茂(8150)</t>
        </is>
      </c>
      <c r="E352" s="168" t="n">
        <v>104</v>
      </c>
      <c r="F352" s="168" t="n">
        <v>54</v>
      </c>
      <c r="G352" s="168" t="n">
        <v>1176</v>
      </c>
      <c r="H352" s="168" t="n">
        <v>616</v>
      </c>
      <c r="I352" s="168" t="n">
        <v>560</v>
      </c>
      <c r="J352" s="169" t="n">
        <v>113.11</v>
      </c>
      <c r="K352" s="169" t="n">
        <v>114</v>
      </c>
      <c r="L352" s="253">
        <f>F352*(K352-J352)</f>
        <v/>
      </c>
    </row>
    <row r="353" ht="16.5" customHeight="1">
      <c r="A353" s="170" t="n"/>
      <c r="B353" s="170" t="n"/>
      <c r="C353" s="170" t="n"/>
      <c r="D353" s="167" t="inlineStr">
        <is>
          <t>廣達(2382)</t>
        </is>
      </c>
      <c r="E353" s="168" t="n">
        <v>32</v>
      </c>
      <c r="F353" s="168" t="n">
        <v>3</v>
      </c>
      <c r="G353" s="168" t="n">
        <v>1061</v>
      </c>
      <c r="H353" s="168" t="n">
        <v>91</v>
      </c>
      <c r="I353" s="168" t="n">
        <v>970</v>
      </c>
      <c r="J353" s="169" t="n">
        <v>331.47</v>
      </c>
      <c r="K353" s="169" t="n">
        <v>303</v>
      </c>
      <c r="L353" s="254">
        <f>F353*(K353-J353)</f>
        <v/>
      </c>
    </row>
    <row r="354" ht="16.5" customHeight="1">
      <c r="A354" s="171" t="n"/>
      <c r="B354" s="164" t="inlineStr">
        <is>
          <t>分點</t>
        </is>
      </c>
      <c r="C354" s="164" t="inlineStr">
        <is>
          <t>代號</t>
        </is>
      </c>
      <c r="D354" s="164" t="inlineStr">
        <is>
          <t>標的</t>
        </is>
      </c>
      <c r="E354" s="164" t="inlineStr">
        <is>
          <t>買進(張)</t>
        </is>
      </c>
      <c r="F354" s="164" t="inlineStr">
        <is>
          <t>賣出(張)</t>
        </is>
      </c>
      <c r="G354" s="164" t="inlineStr">
        <is>
          <t>買進(萬元)</t>
        </is>
      </c>
      <c r="H354" s="164" t="inlineStr">
        <is>
          <t>賣出(萬元)</t>
        </is>
      </c>
      <c r="I354" s="164" t="inlineStr">
        <is>
          <t>淨買差(萬元)</t>
        </is>
      </c>
      <c r="J354" s="164" t="inlineStr">
        <is>
          <t>買均</t>
        </is>
      </c>
      <c r="K354" s="164" t="inlineStr">
        <is>
          <t>賣均</t>
        </is>
      </c>
      <c r="L354" s="164" t="inlineStr">
        <is>
          <t>損益(萬)</t>
        </is>
      </c>
    </row>
    <row r="355" ht="16.5" customHeight="1">
      <c r="A355" s="170" t="n"/>
      <c r="B355" s="166" t="inlineStr">
        <is>
          <t>台新-大昌</t>
        </is>
      </c>
      <c r="C355" s="166" t="inlineStr">
        <is>
          <t>9B2D</t>
        </is>
      </c>
      <c r="D355" s="167" t="inlineStr">
        <is>
          <t>藥華藥(6446)</t>
        </is>
      </c>
      <c r="E355" s="168" t="n">
        <v>51</v>
      </c>
      <c r="F355" s="168" t="n">
        <v>18</v>
      </c>
      <c r="G355" s="168" t="n">
        <v>6140</v>
      </c>
      <c r="H355" s="168" t="n">
        <v>2162</v>
      </c>
      <c r="I355" s="168" t="n">
        <v>3978</v>
      </c>
      <c r="J355" s="169" t="n">
        <v>1203.92</v>
      </c>
      <c r="K355" s="169" t="n">
        <v>1201.11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群創(3481)</t>
        </is>
      </c>
      <c r="E356" s="168" t="n">
        <v>457</v>
      </c>
      <c r="F356" s="168" t="n">
        <v>299</v>
      </c>
      <c r="G356" s="168" t="n">
        <v>2453</v>
      </c>
      <c r="H356" s="168" t="n">
        <v>1583</v>
      </c>
      <c r="I356" s="168" t="n">
        <v>870</v>
      </c>
      <c r="J356" s="169" t="n">
        <v>53.68</v>
      </c>
      <c r="K356" s="169" t="n">
        <v>52.93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友達(2409)</t>
        </is>
      </c>
      <c r="E357" s="168" t="n">
        <v>583</v>
      </c>
      <c r="F357" s="168" t="n">
        <v>336</v>
      </c>
      <c r="G357" s="168" t="n">
        <v>2255</v>
      </c>
      <c r="H357" s="168" t="n">
        <v>1300</v>
      </c>
      <c r="I357" s="168" t="n">
        <v>955</v>
      </c>
      <c r="J357" s="169" t="n">
        <v>38.69</v>
      </c>
      <c r="K357" s="169" t="n">
        <v>38.68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穩懋(3105)</t>
        </is>
      </c>
      <c r="E358" s="168" t="n">
        <v>32</v>
      </c>
      <c r="F358" s="168" t="n">
        <v>27</v>
      </c>
      <c r="G358" s="168" t="n">
        <v>1742</v>
      </c>
      <c r="H358" s="168" t="n">
        <v>1435</v>
      </c>
      <c r="I358" s="168" t="n">
        <v>307</v>
      </c>
      <c r="J358" s="169" t="n">
        <v>544.34</v>
      </c>
      <c r="K358" s="169" t="n">
        <v>531.5599999999999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貿聯-KY(3665)</t>
        </is>
      </c>
      <c r="E359" s="168" t="n">
        <v>5</v>
      </c>
      <c r="F359" s="168" t="n">
        <v>1</v>
      </c>
      <c r="G359" s="168" t="n">
        <v>1282</v>
      </c>
      <c r="H359" s="168" t="n">
        <v>13</v>
      </c>
      <c r="I359" s="168" t="n">
        <v>1269</v>
      </c>
      <c r="J359" s="169" t="n">
        <v>2565</v>
      </c>
      <c r="K359" s="169" t="n">
        <v>131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巨有科技(8227)</t>
        </is>
      </c>
      <c r="E360" s="168" t="n">
        <v>30</v>
      </c>
      <c r="F360" s="168" t="n">
        <v>14</v>
      </c>
      <c r="G360" s="168" t="n">
        <v>1108</v>
      </c>
      <c r="H360" s="168" t="n">
        <v>495</v>
      </c>
      <c r="I360" s="168" t="n">
        <v>613</v>
      </c>
      <c r="J360" s="169" t="n">
        <v>369.43</v>
      </c>
      <c r="K360" s="169" t="n">
        <v>353.57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2</v>
      </c>
      <c r="F361" s="168" t="n">
        <v>1</v>
      </c>
      <c r="G361" s="168" t="n">
        <v>1086</v>
      </c>
      <c r="H361" s="168" t="n">
        <v>557</v>
      </c>
      <c r="I361" s="168" t="n">
        <v>529</v>
      </c>
      <c r="J361" s="169" t="n">
        <v>5431</v>
      </c>
      <c r="K361" s="169" t="n">
        <v>5569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南亞(1303)</t>
        </is>
      </c>
      <c r="E362" s="168" t="n">
        <v>38</v>
      </c>
      <c r="F362" s="168" t="n">
        <v>23</v>
      </c>
      <c r="G362" s="168" t="n">
        <v>970</v>
      </c>
      <c r="H362" s="168" t="n">
        <v>596</v>
      </c>
      <c r="I362" s="168" t="n">
        <v>374</v>
      </c>
      <c r="J362" s="169" t="n">
        <v>255.37</v>
      </c>
      <c r="K362" s="169" t="n">
        <v>259.22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國泰金(2882)</t>
        </is>
      </c>
      <c r="E363" s="168" t="n">
        <v>71</v>
      </c>
      <c r="F363" s="168" t="n">
        <v>3</v>
      </c>
      <c r="G363" s="168" t="n">
        <v>774</v>
      </c>
      <c r="H363" s="168" t="n">
        <v>36</v>
      </c>
      <c r="I363" s="168" t="n">
        <v>738</v>
      </c>
      <c r="J363" s="169" t="n">
        <v>109.01</v>
      </c>
      <c r="K363" s="169" t="n">
        <v>120</v>
      </c>
      <c r="L363" s="253">
        <f>F363*(K363-J363)</f>
        <v/>
      </c>
    </row>
    <row r="364" ht="16.5" customHeight="1">
      <c r="A364" s="170" t="n"/>
      <c r="B364" s="170" t="n"/>
      <c r="C364" s="170" t="n"/>
      <c r="D364" s="167" t="inlineStr">
        <is>
          <t>盟立(2464)</t>
        </is>
      </c>
      <c r="E364" s="168" t="n">
        <v>33</v>
      </c>
      <c r="F364" s="168" t="n">
        <v>4</v>
      </c>
      <c r="G364" s="168" t="n">
        <v>633</v>
      </c>
      <c r="H364" s="168" t="n">
        <v>77</v>
      </c>
      <c r="I364" s="168" t="n">
        <v>556</v>
      </c>
      <c r="J364" s="169" t="n">
        <v>191.94</v>
      </c>
      <c r="K364" s="169" t="n">
        <v>193.25</v>
      </c>
      <c r="L364" s="253">
        <f>F364*(K364-J364)</f>
        <v/>
      </c>
    </row>
    <row r="365" ht="16.5" customHeight="1">
      <c r="A365" s="172" t="inlineStr">
        <is>
          <t>高手</t>
        </is>
      </c>
      <c r="B365" s="172" t="inlineStr">
        <is>
          <t>分點</t>
        </is>
      </c>
      <c r="C365" s="172" t="inlineStr">
        <is>
          <t>代號</t>
        </is>
      </c>
      <c r="D365" s="172" t="inlineStr">
        <is>
          <t>標的</t>
        </is>
      </c>
      <c r="E365" s="172" t="inlineStr">
        <is>
          <t>買進(張)</t>
        </is>
      </c>
      <c r="F365" s="172" t="inlineStr">
        <is>
          <t>賣出(張)</t>
        </is>
      </c>
      <c r="G365" s="172" t="inlineStr">
        <is>
          <t>買進(萬元)</t>
        </is>
      </c>
      <c r="H365" s="172" t="inlineStr">
        <is>
          <t>賣出(萬元)</t>
        </is>
      </c>
      <c r="I365" s="172" t="inlineStr">
        <is>
          <t>淨買差(萬元)</t>
        </is>
      </c>
      <c r="J365" s="172" t="inlineStr">
        <is>
          <t>買均</t>
        </is>
      </c>
      <c r="K365" s="172" t="inlineStr">
        <is>
          <t>賣均</t>
        </is>
      </c>
      <c r="L365" s="172" t="inlineStr">
        <is>
          <t>損益(萬)</t>
        </is>
      </c>
    </row>
    <row r="366" ht="16.5" customHeight="1">
      <c r="A366" s="173" t="inlineStr">
        <is>
          <t>Tradow</t>
        </is>
      </c>
      <c r="B366" s="174" t="inlineStr">
        <is>
          <t>台新-松德</t>
        </is>
      </c>
      <c r="C366" s="174" t="inlineStr">
        <is>
          <t>9B2a</t>
        </is>
      </c>
      <c r="D366" s="175" t="inlineStr">
        <is>
          <t>景碩(3189)</t>
        </is>
      </c>
      <c r="E366" s="176" t="n">
        <v>96</v>
      </c>
      <c r="F366" s="176" t="n">
        <v>15</v>
      </c>
      <c r="G366" s="176" t="n">
        <v>9550</v>
      </c>
      <c r="H366" s="176" t="n">
        <v>1482</v>
      </c>
      <c r="I366" s="176" t="n">
        <v>8068</v>
      </c>
      <c r="J366" s="177" t="n">
        <v>994.76</v>
      </c>
      <c r="K366" s="177" t="n">
        <v>987.87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禾伸堂(3026)</t>
        </is>
      </c>
      <c r="E367" s="176" t="n">
        <v>115</v>
      </c>
      <c r="F367" s="176" t="n">
        <v>17</v>
      </c>
      <c r="G367" s="176" t="n">
        <v>9481</v>
      </c>
      <c r="H367" s="176" t="n">
        <v>1433</v>
      </c>
      <c r="I367" s="176" t="n">
        <v>8048</v>
      </c>
      <c r="J367" s="177" t="n">
        <v>824.42</v>
      </c>
      <c r="K367" s="177" t="n">
        <v>842.76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陽程(3498)</t>
        </is>
      </c>
      <c r="E368" s="176" t="n">
        <v>210</v>
      </c>
      <c r="F368" s="176" t="n">
        <v>36</v>
      </c>
      <c r="G368" s="176" t="n">
        <v>4557</v>
      </c>
      <c r="H368" s="176" t="n">
        <v>795</v>
      </c>
      <c r="I368" s="176" t="n">
        <v>3762</v>
      </c>
      <c r="J368" s="177" t="n">
        <v>217</v>
      </c>
      <c r="K368" s="177" t="n">
        <v>220.89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大量(3167)</t>
        </is>
      </c>
      <c r="E369" s="176" t="n">
        <v>43</v>
      </c>
      <c r="F369" s="176" t="n">
        <v>4</v>
      </c>
      <c r="G369" s="176" t="n">
        <v>4080</v>
      </c>
      <c r="H369" s="176" t="n">
        <v>400</v>
      </c>
      <c r="I369" s="176" t="n">
        <v>3680</v>
      </c>
      <c r="J369" s="177" t="n">
        <v>948.79</v>
      </c>
      <c r="K369" s="177" t="n">
        <v>999.25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南電(8046)</t>
        </is>
      </c>
      <c r="E370" s="176" t="n">
        <v>28</v>
      </c>
      <c r="F370" s="176" t="n">
        <v>2</v>
      </c>
      <c r="G370" s="176" t="n">
        <v>3872</v>
      </c>
      <c r="H370" s="176" t="n">
        <v>244</v>
      </c>
      <c r="I370" s="176" t="n">
        <v>3628</v>
      </c>
      <c r="J370" s="177" t="n">
        <v>1382.75</v>
      </c>
      <c r="K370" s="177" t="n">
        <v>1218.5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漢測(7856)</t>
        </is>
      </c>
      <c r="E371" s="176" t="n">
        <v>7</v>
      </c>
      <c r="F371" s="176" t="n">
        <v>0</v>
      </c>
      <c r="G371" s="176" t="n">
        <v>2845</v>
      </c>
      <c r="H371" s="176" t="n">
        <v>0</v>
      </c>
      <c r="I371" s="176" t="n">
        <v>2845</v>
      </c>
      <c r="J371" s="177" t="n">
        <v>4064.43</v>
      </c>
      <c r="K371" s="177" t="n">
        <v>0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聯電(2303)</t>
        </is>
      </c>
      <c r="E372" s="176" t="n">
        <v>173</v>
      </c>
      <c r="F372" s="176" t="n">
        <v>42</v>
      </c>
      <c r="G372" s="176" t="n">
        <v>2708</v>
      </c>
      <c r="H372" s="176" t="n">
        <v>674</v>
      </c>
      <c r="I372" s="176" t="n">
        <v>2034</v>
      </c>
      <c r="J372" s="177" t="n">
        <v>156.51</v>
      </c>
      <c r="K372" s="177" t="n">
        <v>160.6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2253</v>
      </c>
      <c r="H373" s="176" t="n">
        <v>84</v>
      </c>
      <c r="I373" s="176" t="n">
        <v>2169</v>
      </c>
      <c r="J373" s="177" t="n">
        <v>2816.38</v>
      </c>
      <c r="K373" s="177" t="n">
        <v>838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欣興(3037)</t>
        </is>
      </c>
      <c r="E374" s="176" t="n">
        <v>16</v>
      </c>
      <c r="F374" s="176" t="n">
        <v>2</v>
      </c>
      <c r="G374" s="176" t="n">
        <v>1897</v>
      </c>
      <c r="H374" s="176" t="n">
        <v>273</v>
      </c>
      <c r="I374" s="176" t="n">
        <v>1624</v>
      </c>
      <c r="J374" s="177" t="n">
        <v>1185.44</v>
      </c>
      <c r="K374" s="177" t="n">
        <v>1364.5</v>
      </c>
      <c r="L374" s="253">
        <f>F374*(K374-J374)</f>
        <v/>
      </c>
    </row>
    <row r="375" ht="16.5" customHeight="1">
      <c r="A375" s="178" t="n"/>
      <c r="B375" s="178" t="n"/>
      <c r="C375" s="178" t="n"/>
      <c r="D375" s="175" t="inlineStr">
        <is>
          <t>信昌電(6173)</t>
        </is>
      </c>
      <c r="E375" s="176" t="n">
        <v>59</v>
      </c>
      <c r="F375" s="176" t="n">
        <v>33</v>
      </c>
      <c r="G375" s="176" t="n">
        <v>1790</v>
      </c>
      <c r="H375" s="176" t="n">
        <v>1005</v>
      </c>
      <c r="I375" s="176" t="n">
        <v>785</v>
      </c>
      <c r="J375" s="177" t="n">
        <v>303.31</v>
      </c>
      <c r="K375" s="177" t="n">
        <v>304.52</v>
      </c>
      <c r="L375" s="253">
        <f>F375*(K375-J375)</f>
        <v/>
      </c>
    </row>
    <row r="376" ht="16.5" customHeight="1">
      <c r="A376" s="179" t="inlineStr">
        <is>
          <t>高手</t>
        </is>
      </c>
      <c r="B376" s="179" t="inlineStr">
        <is>
          <t>分點</t>
        </is>
      </c>
      <c r="C376" s="179" t="inlineStr">
        <is>
          <t>代號</t>
        </is>
      </c>
      <c r="D376" s="179" t="inlineStr">
        <is>
          <t>標的</t>
        </is>
      </c>
      <c r="E376" s="179" t="inlineStr">
        <is>
          <t>買進(張)</t>
        </is>
      </c>
      <c r="F376" s="179" t="inlineStr">
        <is>
          <t>賣出(張)</t>
        </is>
      </c>
      <c r="G376" s="179" t="inlineStr">
        <is>
          <t>買進(萬元)</t>
        </is>
      </c>
      <c r="H376" s="179" t="inlineStr">
        <is>
          <t>賣出(萬元)</t>
        </is>
      </c>
      <c r="I376" s="179" t="inlineStr">
        <is>
          <t>淨買差(萬元)</t>
        </is>
      </c>
      <c r="J376" s="179" t="inlineStr">
        <is>
          <t>買均</t>
        </is>
      </c>
      <c r="K376" s="179" t="inlineStr">
        <is>
          <t>賣均</t>
        </is>
      </c>
      <c r="L376" s="179" t="inlineStr">
        <is>
          <t>損益(萬)</t>
        </is>
      </c>
    </row>
    <row r="377" ht="16.5" customHeight="1">
      <c r="A377" s="180" t="inlineStr">
        <is>
          <t>巨人傑</t>
        </is>
      </c>
      <c r="B377" s="181" t="inlineStr">
        <is>
          <t>台新-西松</t>
        </is>
      </c>
      <c r="C377" s="181" t="inlineStr">
        <is>
          <t>9B2n</t>
        </is>
      </c>
      <c r="D377" s="182" t="inlineStr">
        <is>
          <t>聯電(2303)</t>
        </is>
      </c>
      <c r="E377" s="183" t="n">
        <v>812</v>
      </c>
      <c r="F377" s="183" t="n">
        <v>637</v>
      </c>
      <c r="G377" s="183" t="n">
        <v>13026</v>
      </c>
      <c r="H377" s="183" t="n">
        <v>10216</v>
      </c>
      <c r="I377" s="183" t="n">
        <v>2810</v>
      </c>
      <c r="J377" s="184" t="n">
        <v>160.42</v>
      </c>
      <c r="K377" s="184" t="n">
        <v>160.38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高力(8996)</t>
        </is>
      </c>
      <c r="E378" s="183" t="n">
        <v>23</v>
      </c>
      <c r="F378" s="183" t="n">
        <v>2</v>
      </c>
      <c r="G378" s="183" t="n">
        <v>3564</v>
      </c>
      <c r="H378" s="183" t="n">
        <v>317</v>
      </c>
      <c r="I378" s="183" t="n">
        <v>3247</v>
      </c>
      <c r="J378" s="184" t="n">
        <v>1549.48</v>
      </c>
      <c r="K378" s="184" t="n">
        <v>1587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信昌電(6173)</t>
        </is>
      </c>
      <c r="E379" s="183" t="n">
        <v>104</v>
      </c>
      <c r="F379" s="183" t="n">
        <v>67</v>
      </c>
      <c r="G379" s="183" t="n">
        <v>3148</v>
      </c>
      <c r="H379" s="183" t="n">
        <v>2057</v>
      </c>
      <c r="I379" s="183" t="n">
        <v>1091</v>
      </c>
      <c r="J379" s="184" t="n">
        <v>302.66</v>
      </c>
      <c r="K379" s="184" t="n">
        <v>307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金居(8358)</t>
        </is>
      </c>
      <c r="E380" s="183" t="n">
        <v>60</v>
      </c>
      <c r="F380" s="183" t="n">
        <v>47</v>
      </c>
      <c r="G380" s="183" t="n">
        <v>3039</v>
      </c>
      <c r="H380" s="183" t="n">
        <v>2444</v>
      </c>
      <c r="I380" s="183" t="n">
        <v>595</v>
      </c>
      <c r="J380" s="184" t="n">
        <v>506.48</v>
      </c>
      <c r="K380" s="184" t="n">
        <v>519.91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景碩(3189)</t>
        </is>
      </c>
      <c r="E381" s="183" t="n">
        <v>27</v>
      </c>
      <c r="F381" s="183" t="n">
        <v>21</v>
      </c>
      <c r="G381" s="183" t="n">
        <v>2682</v>
      </c>
      <c r="H381" s="183" t="n">
        <v>2141</v>
      </c>
      <c r="I381" s="183" t="n">
        <v>541</v>
      </c>
      <c r="J381" s="184" t="n">
        <v>993.4400000000001</v>
      </c>
      <c r="K381" s="184" t="n">
        <v>1019.62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頎邦(6147)</t>
        </is>
      </c>
      <c r="E382" s="183" t="n">
        <v>114</v>
      </c>
      <c r="F382" s="183" t="n">
        <v>56</v>
      </c>
      <c r="G382" s="183" t="n">
        <v>2508</v>
      </c>
      <c r="H382" s="183" t="n">
        <v>1249</v>
      </c>
      <c r="I382" s="183" t="n">
        <v>1259</v>
      </c>
      <c r="J382" s="184" t="n">
        <v>220.03</v>
      </c>
      <c r="K382" s="184" t="n">
        <v>222.96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世界(5347)</t>
        </is>
      </c>
      <c r="E383" s="183" t="n">
        <v>122</v>
      </c>
      <c r="F383" s="183" t="n">
        <v>34</v>
      </c>
      <c r="G383" s="183" t="n">
        <v>2251</v>
      </c>
      <c r="H383" s="183" t="n">
        <v>634</v>
      </c>
      <c r="I383" s="183" t="n">
        <v>1617</v>
      </c>
      <c r="J383" s="184" t="n">
        <v>184.51</v>
      </c>
      <c r="K383" s="184" t="n">
        <v>186.47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大立光(3008)</t>
        </is>
      </c>
      <c r="E384" s="183" t="n">
        <v>3</v>
      </c>
      <c r="F384" s="183" t="n">
        <v>1</v>
      </c>
      <c r="G384" s="183" t="n">
        <v>1899</v>
      </c>
      <c r="H384" s="183" t="n">
        <v>592</v>
      </c>
      <c r="I384" s="183" t="n">
        <v>1307</v>
      </c>
      <c r="J384" s="184" t="n">
        <v>6328.67</v>
      </c>
      <c r="K384" s="184" t="n">
        <v>5918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環球晶(6488)</t>
        </is>
      </c>
      <c r="E385" s="183" t="n">
        <v>15</v>
      </c>
      <c r="F385" s="183" t="n">
        <v>8</v>
      </c>
      <c r="G385" s="183" t="n">
        <v>1657</v>
      </c>
      <c r="H385" s="183" t="n">
        <v>871</v>
      </c>
      <c r="I385" s="183" t="n">
        <v>786</v>
      </c>
      <c r="J385" s="184" t="n">
        <v>1104.87</v>
      </c>
      <c r="K385" s="184" t="n">
        <v>1088.62</v>
      </c>
      <c r="L385" s="254">
        <f>F385*(K385-J385)</f>
        <v/>
      </c>
    </row>
    <row r="386" ht="16.5" customHeight="1">
      <c r="A386" s="185" t="n"/>
      <c r="B386" s="185" t="n"/>
      <c r="C386" s="185" t="n"/>
      <c r="D386" s="182" t="inlineStr">
        <is>
          <t>精材(3374)</t>
        </is>
      </c>
      <c r="E386" s="183" t="n">
        <v>35</v>
      </c>
      <c r="F386" s="183" t="n">
        <v>0</v>
      </c>
      <c r="G386" s="183" t="n">
        <v>1581</v>
      </c>
      <c r="H386" s="183" t="n">
        <v>0</v>
      </c>
      <c r="I386" s="183" t="n">
        <v>1581</v>
      </c>
      <c r="J386" s="184" t="n">
        <v>451.8</v>
      </c>
      <c r="K386" s="184" t="n">
        <v>0</v>
      </c>
      <c r="L386" s="253">
        <f>F386*(K386-J386)</f>
        <v/>
      </c>
    </row>
    <row r="387" ht="16.5" customHeight="1">
      <c r="A387" s="186" t="n"/>
      <c r="B387" s="179" t="inlineStr">
        <is>
          <t>分點</t>
        </is>
      </c>
      <c r="C387" s="179" t="inlineStr">
        <is>
          <t>代號</t>
        </is>
      </c>
      <c r="D387" s="179" t="inlineStr">
        <is>
          <t>標的</t>
        </is>
      </c>
      <c r="E387" s="179" t="inlineStr">
        <is>
          <t>買進(張)</t>
        </is>
      </c>
      <c r="F387" s="179" t="inlineStr">
        <is>
          <t>賣出(張)</t>
        </is>
      </c>
      <c r="G387" s="179" t="inlineStr">
        <is>
          <t>買進(萬元)</t>
        </is>
      </c>
      <c r="H387" s="179" t="inlineStr">
        <is>
          <t>賣出(萬元)</t>
        </is>
      </c>
      <c r="I387" s="179" t="inlineStr">
        <is>
          <t>淨買差(萬元)</t>
        </is>
      </c>
      <c r="J387" s="179" t="inlineStr">
        <is>
          <t>買均</t>
        </is>
      </c>
      <c r="K387" s="179" t="inlineStr">
        <is>
          <t>賣均</t>
        </is>
      </c>
      <c r="L387" s="179" t="inlineStr">
        <is>
          <t>損益(萬)</t>
        </is>
      </c>
    </row>
    <row r="388" ht="16.5" customHeight="1">
      <c r="A388" s="185" t="n"/>
      <c r="B388" s="181" t="inlineStr">
        <is>
          <t>元大-館前</t>
        </is>
      </c>
      <c r="C388" s="181" t="inlineStr">
        <is>
          <t>984K</t>
        </is>
      </c>
      <c r="D388" s="182" t="inlineStr">
        <is>
          <t>環球晶(6488)</t>
        </is>
      </c>
      <c r="E388" s="183" t="n">
        <v>215</v>
      </c>
      <c r="F388" s="183" t="n">
        <v>28</v>
      </c>
      <c r="G388" s="183" t="n">
        <v>23600</v>
      </c>
      <c r="H388" s="183" t="n">
        <v>3138</v>
      </c>
      <c r="I388" s="183" t="n">
        <v>20462</v>
      </c>
      <c r="J388" s="184" t="n">
        <v>1097.68</v>
      </c>
      <c r="K388" s="184" t="n">
        <v>1120.68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創意(3443)</t>
        </is>
      </c>
      <c r="E389" s="183" t="n">
        <v>17</v>
      </c>
      <c r="F389" s="183" t="n">
        <v>1</v>
      </c>
      <c r="G389" s="183" t="n">
        <v>13293</v>
      </c>
      <c r="H389" s="183" t="n">
        <v>39</v>
      </c>
      <c r="I389" s="183" t="n">
        <v>13254</v>
      </c>
      <c r="J389" s="184" t="n">
        <v>7819.41</v>
      </c>
      <c r="K389" s="184" t="n">
        <v>394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大立光(3008)</t>
        </is>
      </c>
      <c r="E390" s="183" t="n">
        <v>17</v>
      </c>
      <c r="F390" s="183" t="n">
        <v>2</v>
      </c>
      <c r="G390" s="183" t="n">
        <v>10300</v>
      </c>
      <c r="H390" s="183" t="n">
        <v>1529</v>
      </c>
      <c r="I390" s="183" t="n">
        <v>8771</v>
      </c>
      <c r="J390" s="184" t="n">
        <v>6059</v>
      </c>
      <c r="K390" s="184" t="n">
        <v>7646.5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奇鋐(3017)</t>
        </is>
      </c>
      <c r="E391" s="183" t="n">
        <v>16</v>
      </c>
      <c r="F391" s="183" t="n">
        <v>7</v>
      </c>
      <c r="G391" s="183" t="n">
        <v>5471</v>
      </c>
      <c r="H391" s="183" t="n">
        <v>2406</v>
      </c>
      <c r="I391" s="183" t="n">
        <v>3065</v>
      </c>
      <c r="J391" s="184" t="n">
        <v>3419.56</v>
      </c>
      <c r="K391" s="184" t="n">
        <v>3437.43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富喬(1815)</t>
        </is>
      </c>
      <c r="E392" s="183" t="n">
        <v>442</v>
      </c>
      <c r="F392" s="183" t="n">
        <v>176</v>
      </c>
      <c r="G392" s="183" t="n">
        <v>5183</v>
      </c>
      <c r="H392" s="183" t="n">
        <v>2043</v>
      </c>
      <c r="I392" s="183" t="n">
        <v>3140</v>
      </c>
      <c r="J392" s="184" t="n">
        <v>117.27</v>
      </c>
      <c r="K392" s="184" t="n">
        <v>116.1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彩晶(6116)</t>
        </is>
      </c>
      <c r="E393" s="183" t="n">
        <v>2981</v>
      </c>
      <c r="F393" s="183" t="n">
        <v>12</v>
      </c>
      <c r="G393" s="183" t="n">
        <v>4678</v>
      </c>
      <c r="H393" s="183" t="n">
        <v>19</v>
      </c>
      <c r="I393" s="183" t="n">
        <v>4659</v>
      </c>
      <c r="J393" s="184" t="n">
        <v>15.69</v>
      </c>
      <c r="K393" s="184" t="n">
        <v>15.75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合晶(6182)</t>
        </is>
      </c>
      <c r="E394" s="183" t="n">
        <v>343</v>
      </c>
      <c r="F394" s="183" t="n">
        <v>264</v>
      </c>
      <c r="G394" s="183" t="n">
        <v>4605</v>
      </c>
      <c r="H394" s="183" t="n">
        <v>3541</v>
      </c>
      <c r="I394" s="183" t="n">
        <v>1064</v>
      </c>
      <c r="J394" s="184" t="n">
        <v>134.25</v>
      </c>
      <c r="K394" s="184" t="n">
        <v>134.13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聯發科(2454)</t>
        </is>
      </c>
      <c r="E395" s="183" t="n">
        <v>9</v>
      </c>
      <c r="F395" s="183" t="n">
        <v>6</v>
      </c>
      <c r="G395" s="183" t="n">
        <v>4322</v>
      </c>
      <c r="H395" s="183" t="n">
        <v>3043</v>
      </c>
      <c r="I395" s="183" t="n">
        <v>1279</v>
      </c>
      <c r="J395" s="184" t="n">
        <v>4801.89</v>
      </c>
      <c r="K395" s="184" t="n">
        <v>5071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矽格(6257)</t>
        </is>
      </c>
      <c r="E396" s="183" t="n">
        <v>110</v>
      </c>
      <c r="F396" s="183" t="n">
        <v>6</v>
      </c>
      <c r="G396" s="183" t="n">
        <v>2817</v>
      </c>
      <c r="H396" s="183" t="n">
        <v>154</v>
      </c>
      <c r="I396" s="183" t="n">
        <v>2663</v>
      </c>
      <c r="J396" s="184" t="n">
        <v>256.11</v>
      </c>
      <c r="K396" s="184" t="n">
        <v>256</v>
      </c>
      <c r="L396" s="254">
        <f>F396*(K396-J396)</f>
        <v/>
      </c>
    </row>
    <row r="397" ht="16.5" customHeight="1">
      <c r="A397" s="185" t="n"/>
      <c r="B397" s="185" t="n"/>
      <c r="C397" s="185" t="n"/>
      <c r="D397" s="182" t="inlineStr">
        <is>
          <t>臻鼎-KY(4958)</t>
        </is>
      </c>
      <c r="E397" s="183" t="n">
        <v>46</v>
      </c>
      <c r="F397" s="183" t="n">
        <v>11</v>
      </c>
      <c r="G397" s="183" t="n">
        <v>2348</v>
      </c>
      <c r="H397" s="183" t="n">
        <v>562</v>
      </c>
      <c r="I397" s="183" t="n">
        <v>1786</v>
      </c>
      <c r="J397" s="184" t="n">
        <v>510.52</v>
      </c>
      <c r="K397" s="184" t="n">
        <v>511</v>
      </c>
      <c r="L397" s="253">
        <f>F397*(K397-J397)</f>
        <v/>
      </c>
    </row>
    <row r="398" ht="16.5" customHeight="1">
      <c r="A398" s="186" t="n"/>
      <c r="B398" s="179" t="inlineStr">
        <is>
          <t>分點</t>
        </is>
      </c>
      <c r="C398" s="179" t="inlineStr">
        <is>
          <t>代號</t>
        </is>
      </c>
      <c r="D398" s="179" t="inlineStr">
        <is>
          <t>標的</t>
        </is>
      </c>
      <c r="E398" s="179" t="inlineStr">
        <is>
          <t>買進(張)</t>
        </is>
      </c>
      <c r="F398" s="179" t="inlineStr">
        <is>
          <t>賣出(張)</t>
        </is>
      </c>
      <c r="G398" s="179" t="inlineStr">
        <is>
          <t>買進(萬元)</t>
        </is>
      </c>
      <c r="H398" s="179" t="inlineStr">
        <is>
          <t>賣出(萬元)</t>
        </is>
      </c>
      <c r="I398" s="179" t="inlineStr">
        <is>
          <t>淨買差(萬元)</t>
        </is>
      </c>
      <c r="J398" s="179" t="inlineStr">
        <is>
          <t>買均</t>
        </is>
      </c>
      <c r="K398" s="179" t="inlineStr">
        <is>
          <t>賣均</t>
        </is>
      </c>
      <c r="L398" s="179" t="inlineStr">
        <is>
          <t>損益(萬)</t>
        </is>
      </c>
    </row>
    <row r="399" ht="16.5" customHeight="1">
      <c r="A399" s="185" t="n"/>
      <c r="B399" s="181" t="inlineStr">
        <is>
          <t>台新-文心</t>
        </is>
      </c>
      <c r="C399" s="181" t="inlineStr">
        <is>
          <t>9B2z</t>
        </is>
      </c>
      <c r="D399" s="182" t="inlineStr">
        <is>
          <t>信驊(5274)</t>
        </is>
      </c>
      <c r="E399" s="183" t="n">
        <v>5</v>
      </c>
      <c r="F399" s="183" t="n">
        <v>5</v>
      </c>
      <c r="G399" s="183" t="n">
        <v>9444</v>
      </c>
      <c r="H399" s="183" t="n">
        <v>9170</v>
      </c>
      <c r="I399" s="183" t="n">
        <v>274</v>
      </c>
      <c r="J399" s="184" t="n">
        <v>18887.6</v>
      </c>
      <c r="K399" s="184" t="n">
        <v>18340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合晶(6182)</t>
        </is>
      </c>
      <c r="E400" s="183" t="n">
        <v>268</v>
      </c>
      <c r="F400" s="183" t="n">
        <v>210</v>
      </c>
      <c r="G400" s="183" t="n">
        <v>3570</v>
      </c>
      <c r="H400" s="183" t="n">
        <v>2794</v>
      </c>
      <c r="I400" s="183" t="n">
        <v>776</v>
      </c>
      <c r="J400" s="184" t="n">
        <v>133.22</v>
      </c>
      <c r="K400" s="184" t="n">
        <v>133.03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群創(3481)</t>
        </is>
      </c>
      <c r="E401" s="183" t="n">
        <v>626</v>
      </c>
      <c r="F401" s="183" t="n">
        <v>226</v>
      </c>
      <c r="G401" s="183" t="n">
        <v>3333</v>
      </c>
      <c r="H401" s="183" t="n">
        <v>1186</v>
      </c>
      <c r="I401" s="183" t="n">
        <v>2147</v>
      </c>
      <c r="J401" s="184" t="n">
        <v>53.25</v>
      </c>
      <c r="K401" s="184" t="n">
        <v>52.48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5</v>
      </c>
      <c r="F402" s="183" t="n">
        <v>2</v>
      </c>
      <c r="G402" s="183" t="n">
        <v>2590</v>
      </c>
      <c r="H402" s="183" t="n">
        <v>984</v>
      </c>
      <c r="I402" s="183" t="n">
        <v>1606</v>
      </c>
      <c r="J402" s="184" t="n">
        <v>5181</v>
      </c>
      <c r="K402" s="184" t="n">
        <v>4917.5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友達(2409)</t>
        </is>
      </c>
      <c r="E403" s="183" t="n">
        <v>612</v>
      </c>
      <c r="F403" s="183" t="n">
        <v>349</v>
      </c>
      <c r="G403" s="183" t="n">
        <v>2372</v>
      </c>
      <c r="H403" s="183" t="n">
        <v>1350</v>
      </c>
      <c r="I403" s="183" t="n">
        <v>1022</v>
      </c>
      <c r="J403" s="184" t="n">
        <v>38.76</v>
      </c>
      <c r="K403" s="184" t="n">
        <v>38.7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力積電(6770)</t>
        </is>
      </c>
      <c r="E404" s="183" t="n">
        <v>222</v>
      </c>
      <c r="F404" s="183" t="n">
        <v>121</v>
      </c>
      <c r="G404" s="183" t="n">
        <v>1643</v>
      </c>
      <c r="H404" s="183" t="n">
        <v>899</v>
      </c>
      <c r="I404" s="183" t="n">
        <v>744</v>
      </c>
      <c r="J404" s="184" t="n">
        <v>74.02</v>
      </c>
      <c r="K404" s="184" t="n">
        <v>74.28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穩懋(3105)</t>
        </is>
      </c>
      <c r="E405" s="183" t="n">
        <v>29</v>
      </c>
      <c r="F405" s="183" t="n">
        <v>18</v>
      </c>
      <c r="G405" s="183" t="n">
        <v>1568</v>
      </c>
      <c r="H405" s="183" t="n">
        <v>975</v>
      </c>
      <c r="I405" s="183" t="n">
        <v>593</v>
      </c>
      <c r="J405" s="184" t="n">
        <v>540.72</v>
      </c>
      <c r="K405" s="184" t="n">
        <v>541.72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台虹(8039)</t>
        </is>
      </c>
      <c r="E406" s="183" t="n">
        <v>39</v>
      </c>
      <c r="F406" s="183" t="n">
        <v>10</v>
      </c>
      <c r="G406" s="183" t="n">
        <v>1143</v>
      </c>
      <c r="H406" s="183" t="n">
        <v>277</v>
      </c>
      <c r="I406" s="183" t="n">
        <v>866</v>
      </c>
      <c r="J406" s="184" t="n">
        <v>292.97</v>
      </c>
      <c r="K406" s="184" t="n">
        <v>277.1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南亞科(2408)</t>
        </is>
      </c>
      <c r="E407" s="183" t="n">
        <v>15</v>
      </c>
      <c r="F407" s="183" t="n">
        <v>10</v>
      </c>
      <c r="G407" s="183" t="n">
        <v>778</v>
      </c>
      <c r="H407" s="183" t="n">
        <v>534</v>
      </c>
      <c r="I407" s="183" t="n">
        <v>244</v>
      </c>
      <c r="J407" s="184" t="n">
        <v>518.6</v>
      </c>
      <c r="K407" s="184" t="n">
        <v>533.5</v>
      </c>
      <c r="L407" s="253">
        <f>F407*(K407-J407)</f>
        <v/>
      </c>
    </row>
    <row r="408" ht="16.5" customHeight="1">
      <c r="A408" s="185" t="n"/>
      <c r="B408" s="185" t="n"/>
      <c r="C408" s="185" t="n"/>
      <c r="D408" s="182" t="inlineStr">
        <is>
          <t>聯茂(6213)</t>
        </is>
      </c>
      <c r="E408" s="183" t="n">
        <v>12</v>
      </c>
      <c r="F408" s="183" t="n">
        <v>5</v>
      </c>
      <c r="G408" s="183" t="n">
        <v>758</v>
      </c>
      <c r="H408" s="183" t="n">
        <v>346</v>
      </c>
      <c r="I408" s="183" t="n">
        <v>412</v>
      </c>
      <c r="J408" s="184" t="n">
        <v>632</v>
      </c>
      <c r="K408" s="184" t="n">
        <v>693</v>
      </c>
      <c r="L408" s="253">
        <f>F408*(K408-J408)</f>
        <v/>
      </c>
    </row>
    <row r="409" ht="16.5" customHeight="1">
      <c r="A409" s="187" t="inlineStr">
        <is>
          <t>高手</t>
        </is>
      </c>
      <c r="B409" s="187" t="inlineStr">
        <is>
          <t>分點</t>
        </is>
      </c>
      <c r="C409" s="187" t="inlineStr">
        <is>
          <t>代號</t>
        </is>
      </c>
      <c r="D409" s="187" t="inlineStr">
        <is>
          <t>標的</t>
        </is>
      </c>
      <c r="E409" s="187" t="inlineStr">
        <is>
          <t>買進(張)</t>
        </is>
      </c>
      <c r="F409" s="187" t="inlineStr">
        <is>
          <t>賣出(張)</t>
        </is>
      </c>
      <c r="G409" s="187" t="inlineStr">
        <is>
          <t>買進(萬元)</t>
        </is>
      </c>
      <c r="H409" s="187" t="inlineStr">
        <is>
          <t>賣出(萬元)</t>
        </is>
      </c>
      <c r="I409" s="187" t="inlineStr">
        <is>
          <t>淨買差(萬元)</t>
        </is>
      </c>
      <c r="J409" s="187" t="inlineStr">
        <is>
          <t>買均</t>
        </is>
      </c>
      <c r="K409" s="187" t="inlineStr">
        <is>
          <t>賣均</t>
        </is>
      </c>
      <c r="L409" s="187" t="inlineStr">
        <is>
          <t>損益(萬)</t>
        </is>
      </c>
    </row>
    <row r="410" ht="16.5" customHeight="1">
      <c r="A410" s="188" t="inlineStr">
        <is>
          <t>蔣承翰</t>
        </is>
      </c>
      <c r="B410" s="189" t="inlineStr">
        <is>
          <t>凱基-城中(UC)</t>
        </is>
      </c>
      <c r="C410" s="189" t="inlineStr">
        <is>
          <t>9227</t>
        </is>
      </c>
      <c r="D410" s="190" t="inlineStr">
        <is>
          <t>騰輝電子-KY(6672)</t>
        </is>
      </c>
      <c r="E410" s="191" t="n">
        <v>488</v>
      </c>
      <c r="F410" s="191" t="n">
        <v>473</v>
      </c>
      <c r="G410" s="191" t="n">
        <v>19786</v>
      </c>
      <c r="H410" s="191" t="n">
        <v>18223</v>
      </c>
      <c r="I410" s="191" t="n">
        <v>1563</v>
      </c>
      <c r="J410" s="192" t="n">
        <v>405.46</v>
      </c>
      <c r="K410" s="192" t="n">
        <v>385.27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鈞寶(6155)</t>
        </is>
      </c>
      <c r="E411" s="195" t="n">
        <v>2000</v>
      </c>
      <c r="F411" s="195" t="n">
        <v>1608</v>
      </c>
      <c r="G411" s="195" t="n">
        <v>13918</v>
      </c>
      <c r="H411" s="195" t="n">
        <v>11178</v>
      </c>
      <c r="I411" s="195" t="n">
        <v>2740</v>
      </c>
      <c r="J411" s="196" t="n">
        <v>69.59</v>
      </c>
      <c r="K411" s="196" t="n">
        <v>69.52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九豪(6127)</t>
        </is>
      </c>
      <c r="E412" s="191" t="n">
        <v>2448</v>
      </c>
      <c r="F412" s="191" t="n">
        <v>2055</v>
      </c>
      <c r="G412" s="191" t="n">
        <v>13903</v>
      </c>
      <c r="H412" s="191" t="n">
        <v>11539</v>
      </c>
      <c r="I412" s="191" t="n">
        <v>2364</v>
      </c>
      <c r="J412" s="192" t="n">
        <v>56.79</v>
      </c>
      <c r="K412" s="192" t="n">
        <v>56.15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聯一光(3441)</t>
        </is>
      </c>
      <c r="E413" s="191" t="n">
        <v>511</v>
      </c>
      <c r="F413" s="191" t="n">
        <v>1</v>
      </c>
      <c r="G413" s="191" t="n">
        <v>10335</v>
      </c>
      <c r="H413" s="191" t="n">
        <v>20</v>
      </c>
      <c r="I413" s="191" t="n">
        <v>10315</v>
      </c>
      <c r="J413" s="192" t="n">
        <v>202.25</v>
      </c>
      <c r="K413" s="192" t="n">
        <v>202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大量(3167)</t>
        </is>
      </c>
      <c r="E414" s="191" t="n">
        <v>101</v>
      </c>
      <c r="F414" s="191" t="n">
        <v>6</v>
      </c>
      <c r="G414" s="191" t="n">
        <v>9823</v>
      </c>
      <c r="H414" s="191" t="n">
        <v>590</v>
      </c>
      <c r="I414" s="191" t="n">
        <v>9233</v>
      </c>
      <c r="J414" s="192" t="n">
        <v>972.5599999999999</v>
      </c>
      <c r="K414" s="192" t="n">
        <v>982.83</v>
      </c>
      <c r="L414" s="253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光頡(3624)</t>
        </is>
      </c>
      <c r="E415" s="191" t="n">
        <v>332</v>
      </c>
      <c r="F415" s="191" t="n">
        <v>13</v>
      </c>
      <c r="G415" s="191" t="n">
        <v>5005</v>
      </c>
      <c r="H415" s="191" t="n">
        <v>194</v>
      </c>
      <c r="I415" s="191" t="n">
        <v>4811</v>
      </c>
      <c r="J415" s="192" t="n">
        <v>150.76</v>
      </c>
      <c r="K415" s="192" t="n">
        <v>149.15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千如(3236)</t>
        </is>
      </c>
      <c r="E416" s="195" t="n">
        <v>468</v>
      </c>
      <c r="F416" s="195" t="n">
        <v>8</v>
      </c>
      <c r="G416" s="195" t="n">
        <v>2271</v>
      </c>
      <c r="H416" s="195" t="n">
        <v>38</v>
      </c>
      <c r="I416" s="195" t="n">
        <v>2233</v>
      </c>
      <c r="J416" s="196" t="n">
        <v>48.53</v>
      </c>
      <c r="K416" s="196" t="n">
        <v>48.12</v>
      </c>
      <c r="L416" s="255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新唐(4919)</t>
        </is>
      </c>
      <c r="E417" s="191" t="n">
        <v>129</v>
      </c>
      <c r="F417" s="191" t="n">
        <v>26</v>
      </c>
      <c r="G417" s="191" t="n">
        <v>1954</v>
      </c>
      <c r="H417" s="191" t="n">
        <v>388</v>
      </c>
      <c r="I417" s="191" t="n">
        <v>1566</v>
      </c>
      <c r="J417" s="192" t="n">
        <v>151.43</v>
      </c>
      <c r="K417" s="192" t="n">
        <v>149.31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華新科(2492)</t>
        </is>
      </c>
      <c r="E418" s="191" t="n">
        <v>37</v>
      </c>
      <c r="F418" s="191" t="n">
        <v>29</v>
      </c>
      <c r="G418" s="191" t="n">
        <v>1214</v>
      </c>
      <c r="H418" s="191" t="n">
        <v>969</v>
      </c>
      <c r="I418" s="191" t="n">
        <v>245</v>
      </c>
      <c r="J418" s="192" t="n">
        <v>327.97</v>
      </c>
      <c r="K418" s="192" t="n">
        <v>334</v>
      </c>
      <c r="L418" s="253">
        <f>F418*(K418-J418)</f>
        <v/>
      </c>
    </row>
    <row r="419" ht="16.5" customHeight="1">
      <c r="A419" s="193" t="n"/>
      <c r="B419" s="193" t="n"/>
      <c r="C419" s="193" t="n"/>
      <c r="D419" s="190" t="inlineStr">
        <is>
          <t>華容(5328)</t>
        </is>
      </c>
      <c r="E419" s="191" t="n">
        <v>57</v>
      </c>
      <c r="F419" s="191" t="n">
        <v>7</v>
      </c>
      <c r="G419" s="191" t="n">
        <v>332</v>
      </c>
      <c r="H419" s="191" t="n">
        <v>40</v>
      </c>
      <c r="I419" s="191" t="n">
        <v>292</v>
      </c>
      <c r="J419" s="192" t="n">
        <v>58.25</v>
      </c>
      <c r="K419" s="192" t="n">
        <v>56.86</v>
      </c>
      <c r="L419" s="254">
        <f>F419*(K419-J419)</f>
        <v/>
      </c>
    </row>
    <row r="420" ht="16.5" customHeight="1">
      <c r="A420" s="198" t="n"/>
      <c r="B420" s="187" t="inlineStr">
        <is>
          <t>分點</t>
        </is>
      </c>
      <c r="C420" s="187" t="inlineStr">
        <is>
          <t>代號</t>
        </is>
      </c>
      <c r="D420" s="187" t="inlineStr">
        <is>
          <t>標的</t>
        </is>
      </c>
      <c r="E420" s="187" t="inlineStr">
        <is>
          <t>買進(張)</t>
        </is>
      </c>
      <c r="F420" s="187" t="inlineStr">
        <is>
          <t>賣出(張)</t>
        </is>
      </c>
      <c r="G420" s="187" t="inlineStr">
        <is>
          <t>買進(萬元)</t>
        </is>
      </c>
      <c r="H420" s="187" t="inlineStr">
        <is>
          <t>賣出(萬元)</t>
        </is>
      </c>
      <c r="I420" s="187" t="inlineStr">
        <is>
          <t>淨買差(萬元)</t>
        </is>
      </c>
      <c r="J420" s="187" t="inlineStr">
        <is>
          <t>買均</t>
        </is>
      </c>
      <c r="K420" s="187" t="inlineStr">
        <is>
          <t>賣均</t>
        </is>
      </c>
      <c r="L420" s="187" t="inlineStr">
        <is>
          <t>損益(萬)</t>
        </is>
      </c>
    </row>
    <row r="421" ht="16.5" customHeight="1">
      <c r="A421" s="193" t="n"/>
      <c r="B421" s="189" t="inlineStr">
        <is>
          <t>台新-建北</t>
        </is>
      </c>
      <c r="C421" s="189" t="inlineStr">
        <is>
          <t>9B18</t>
        </is>
      </c>
      <c r="D421" s="190" t="inlineStr">
        <is>
          <t>新唐(4919)</t>
        </is>
      </c>
      <c r="E421" s="191" t="n">
        <v>313</v>
      </c>
      <c r="F421" s="191" t="n">
        <v>246</v>
      </c>
      <c r="G421" s="191" t="n">
        <v>4536</v>
      </c>
      <c r="H421" s="191" t="n">
        <v>3710</v>
      </c>
      <c r="I421" s="191" t="n">
        <v>826</v>
      </c>
      <c r="J421" s="192" t="n">
        <v>144.94</v>
      </c>
      <c r="K421" s="192" t="n">
        <v>150.83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天二科技(6834)</t>
        </is>
      </c>
      <c r="E422" s="191" t="n">
        <v>118</v>
      </c>
      <c r="F422" s="191" t="n">
        <v>24</v>
      </c>
      <c r="G422" s="191" t="n">
        <v>1404</v>
      </c>
      <c r="H422" s="191" t="n">
        <v>286</v>
      </c>
      <c r="I422" s="191" t="n">
        <v>1118</v>
      </c>
      <c r="J422" s="192" t="n">
        <v>119.01</v>
      </c>
      <c r="K422" s="192" t="n">
        <v>119.21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聯傑(3094)</t>
        </is>
      </c>
      <c r="E423" s="191" t="n">
        <v>135</v>
      </c>
      <c r="F423" s="191" t="n">
        <v>38</v>
      </c>
      <c r="G423" s="191" t="n">
        <v>903</v>
      </c>
      <c r="H423" s="191" t="n">
        <v>247</v>
      </c>
      <c r="I423" s="191" t="n">
        <v>656</v>
      </c>
      <c r="J423" s="192" t="n">
        <v>66.86</v>
      </c>
      <c r="K423" s="192" t="n">
        <v>65.11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9" t="inlineStr">
        <is>
          <t>⚪ 今日漲停僅 3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3" t="n"/>
      <c r="B430" s="193" t="n"/>
      <c r="C430" s="193" t="n"/>
      <c r="D430" s="190" t="n"/>
      <c r="E430" s="191" t="n"/>
      <c r="F430" s="191" t="n"/>
      <c r="G430" s="191" t="n"/>
      <c r="H430" s="191" t="n"/>
      <c r="I430" s="191" t="n"/>
      <c r="J430" s="192" t="n"/>
      <c r="K430" s="192" t="n"/>
      <c r="L430" s="252" t="n"/>
    </row>
    <row r="431" ht="16.5" customHeight="1">
      <c r="A431" s="198" t="n"/>
      <c r="B431" s="187" t="inlineStr">
        <is>
          <t>分點</t>
        </is>
      </c>
      <c r="C431" s="187" t="inlineStr">
        <is>
          <t>代號</t>
        </is>
      </c>
      <c r="D431" s="187" t="inlineStr">
        <is>
          <t>標的</t>
        </is>
      </c>
      <c r="E431" s="187" t="inlineStr">
        <is>
          <t>買進(張)</t>
        </is>
      </c>
      <c r="F431" s="187" t="inlineStr">
        <is>
          <t>賣出(張)</t>
        </is>
      </c>
      <c r="G431" s="187" t="inlineStr">
        <is>
          <t>買進(萬元)</t>
        </is>
      </c>
      <c r="H431" s="187" t="inlineStr">
        <is>
          <t>賣出(萬元)</t>
        </is>
      </c>
      <c r="I431" s="187" t="inlineStr">
        <is>
          <t>淨買差(萬元)</t>
        </is>
      </c>
      <c r="J431" s="187" t="inlineStr">
        <is>
          <t>買均</t>
        </is>
      </c>
      <c r="K431" s="187" t="inlineStr">
        <is>
          <t>賣均</t>
        </is>
      </c>
      <c r="L431" s="187" t="inlineStr">
        <is>
          <t>損益(萬)</t>
        </is>
      </c>
    </row>
    <row r="432" ht="16.5" customHeight="1">
      <c r="A432" s="193" t="n"/>
      <c r="B432" s="189" t="inlineStr">
        <is>
          <t>永豐金-南京</t>
        </is>
      </c>
      <c r="C432" s="189" t="inlineStr">
        <is>
          <t>9A9S</t>
        </is>
      </c>
      <c r="D432" s="199" t="inlineStr">
        <is>
          <t>⚪ 此分點今日未搶漲停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193" t="n"/>
      <c r="B441" s="193" t="n"/>
      <c r="C441" s="193" t="n"/>
      <c r="D441" s="190" t="n"/>
      <c r="E441" s="191" t="n"/>
      <c r="F441" s="191" t="n"/>
      <c r="G441" s="191" t="n"/>
      <c r="H441" s="191" t="n"/>
      <c r="I441" s="191" t="n"/>
      <c r="J441" s="192" t="n"/>
      <c r="K441" s="192" t="n"/>
      <c r="L441" s="252" t="n"/>
    </row>
    <row r="442" ht="16.5" customHeight="1">
      <c r="A442" s="200" t="inlineStr">
        <is>
          <t>高手</t>
        </is>
      </c>
      <c r="B442" s="200" t="inlineStr">
        <is>
          <t>分點</t>
        </is>
      </c>
      <c r="C442" s="200" t="inlineStr">
        <is>
          <t>代號</t>
        </is>
      </c>
      <c r="D442" s="200" t="inlineStr">
        <is>
          <t>標的</t>
        </is>
      </c>
      <c r="E442" s="200" t="inlineStr">
        <is>
          <t>買進(張)</t>
        </is>
      </c>
      <c r="F442" s="200" t="inlineStr">
        <is>
          <t>賣出(張)</t>
        </is>
      </c>
      <c r="G442" s="200" t="inlineStr">
        <is>
          <t>買進(萬元)</t>
        </is>
      </c>
      <c r="H442" s="200" t="inlineStr">
        <is>
          <t>賣出(萬元)</t>
        </is>
      </c>
      <c r="I442" s="200" t="inlineStr">
        <is>
          <t>淨買差(萬元)</t>
        </is>
      </c>
      <c r="J442" s="200" t="inlineStr">
        <is>
          <t>買均</t>
        </is>
      </c>
      <c r="K442" s="200" t="inlineStr">
        <is>
          <t>賣均</t>
        </is>
      </c>
      <c r="L442" s="200" t="inlineStr">
        <is>
          <t>損益(萬)</t>
        </is>
      </c>
    </row>
    <row r="443" ht="16.5" customHeight="1">
      <c r="A443" s="201" t="inlineStr">
        <is>
          <t>大牌分析師</t>
        </is>
      </c>
      <c r="B443" s="202" t="inlineStr">
        <is>
          <t>新光-新竹</t>
        </is>
      </c>
      <c r="C443" s="202" t="inlineStr">
        <is>
          <t>8563</t>
        </is>
      </c>
      <c r="D443" s="203" t="inlineStr">
        <is>
          <t>智邦(2345)</t>
        </is>
      </c>
      <c r="E443" s="204" t="n">
        <v>35</v>
      </c>
      <c r="F443" s="204" t="n">
        <v>12</v>
      </c>
      <c r="G443" s="204" t="n">
        <v>6442</v>
      </c>
      <c r="H443" s="204" t="n">
        <v>2181</v>
      </c>
      <c r="I443" s="204" t="n">
        <v>4261</v>
      </c>
      <c r="J443" s="205" t="n">
        <v>1840.57</v>
      </c>
      <c r="K443" s="205" t="n">
        <v>1817.67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友達(2409)</t>
        </is>
      </c>
      <c r="E444" s="204" t="n">
        <v>1652</v>
      </c>
      <c r="F444" s="204" t="n">
        <v>1423</v>
      </c>
      <c r="G444" s="204" t="n">
        <v>6399</v>
      </c>
      <c r="H444" s="204" t="n">
        <v>5513</v>
      </c>
      <c r="I444" s="204" t="n">
        <v>886</v>
      </c>
      <c r="J444" s="205" t="n">
        <v>38.73</v>
      </c>
      <c r="K444" s="205" t="n">
        <v>38.74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10</v>
      </c>
      <c r="F445" s="204" t="n">
        <v>7</v>
      </c>
      <c r="G445" s="204" t="n">
        <v>6294</v>
      </c>
      <c r="H445" s="204" t="n">
        <v>4327</v>
      </c>
      <c r="I445" s="204" t="n">
        <v>1967</v>
      </c>
      <c r="J445" s="205" t="n">
        <v>6294</v>
      </c>
      <c r="K445" s="205" t="n">
        <v>6181.14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環球晶(6488)</t>
        </is>
      </c>
      <c r="E446" s="204" t="n">
        <v>42</v>
      </c>
      <c r="F446" s="204" t="n">
        <v>24</v>
      </c>
      <c r="G446" s="204" t="n">
        <v>4537</v>
      </c>
      <c r="H446" s="204" t="n">
        <v>2580</v>
      </c>
      <c r="I446" s="204" t="n">
        <v>1957</v>
      </c>
      <c r="J446" s="205" t="n">
        <v>1080.24</v>
      </c>
      <c r="K446" s="205" t="n">
        <v>1075.04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群創(3481)</t>
        </is>
      </c>
      <c r="E447" s="204" t="n">
        <v>763</v>
      </c>
      <c r="F447" s="204" t="n">
        <v>591</v>
      </c>
      <c r="G447" s="204" t="n">
        <v>4059</v>
      </c>
      <c r="H447" s="204" t="n">
        <v>3118</v>
      </c>
      <c r="I447" s="204" t="n">
        <v>941</v>
      </c>
      <c r="J447" s="205" t="n">
        <v>53.2</v>
      </c>
      <c r="K447" s="205" t="n">
        <v>52.75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印能科技(7734)</t>
        </is>
      </c>
      <c r="E448" s="204" t="n">
        <v>14</v>
      </c>
      <c r="F448" s="204" t="n">
        <v>2</v>
      </c>
      <c r="G448" s="204" t="n">
        <v>3952</v>
      </c>
      <c r="H448" s="204" t="n">
        <v>600</v>
      </c>
      <c r="I448" s="204" t="n">
        <v>3352</v>
      </c>
      <c r="J448" s="205" t="n">
        <v>2823.07</v>
      </c>
      <c r="K448" s="205" t="n">
        <v>3002.5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中美晶(5483)</t>
        </is>
      </c>
      <c r="E449" s="204" t="n">
        <v>141</v>
      </c>
      <c r="F449" s="204" t="n">
        <v>118</v>
      </c>
      <c r="G449" s="204" t="n">
        <v>3004</v>
      </c>
      <c r="H449" s="204" t="n">
        <v>2508</v>
      </c>
      <c r="I449" s="204" t="n">
        <v>496</v>
      </c>
      <c r="J449" s="205" t="n">
        <v>213.09</v>
      </c>
      <c r="K449" s="205" t="n">
        <v>212.53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台達電(2308)</t>
        </is>
      </c>
      <c r="E450" s="204" t="n">
        <v>16</v>
      </c>
      <c r="F450" s="204" t="n">
        <v>9</v>
      </c>
      <c r="G450" s="204" t="n">
        <v>3001</v>
      </c>
      <c r="H450" s="204" t="n">
        <v>1700</v>
      </c>
      <c r="I450" s="204" t="n">
        <v>1301</v>
      </c>
      <c r="J450" s="205" t="n">
        <v>1875.62</v>
      </c>
      <c r="K450" s="205" t="n">
        <v>1889.44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欣銓(3264)</t>
        </is>
      </c>
      <c r="E451" s="204" t="n">
        <v>113</v>
      </c>
      <c r="F451" s="204" t="n">
        <v>59</v>
      </c>
      <c r="G451" s="204" t="n">
        <v>2723</v>
      </c>
      <c r="H451" s="204" t="n">
        <v>1432</v>
      </c>
      <c r="I451" s="204" t="n">
        <v>1291</v>
      </c>
      <c r="J451" s="205" t="n">
        <v>240.95</v>
      </c>
      <c r="K451" s="205" t="n">
        <v>242.76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南亞(1303)</t>
        </is>
      </c>
      <c r="E452" s="204" t="n">
        <v>96</v>
      </c>
      <c r="F452" s="204" t="n">
        <v>70</v>
      </c>
      <c r="G452" s="204" t="n">
        <v>2424</v>
      </c>
      <c r="H452" s="204" t="n">
        <v>1797</v>
      </c>
      <c r="I452" s="204" t="n">
        <v>627</v>
      </c>
      <c r="J452" s="205" t="n">
        <v>252.46</v>
      </c>
      <c r="K452" s="205" t="n">
        <v>256.7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金像電(2368)</t>
        </is>
      </c>
      <c r="E453" s="204" t="n">
        <v>21</v>
      </c>
      <c r="F453" s="204" t="n">
        <v>12</v>
      </c>
      <c r="G453" s="204" t="n">
        <v>2261</v>
      </c>
      <c r="H453" s="204" t="n">
        <v>1362</v>
      </c>
      <c r="I453" s="204" t="n">
        <v>899</v>
      </c>
      <c r="J453" s="205" t="n">
        <v>1076.86</v>
      </c>
      <c r="K453" s="205" t="n">
        <v>1135.33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臻鼎-KY(4958)</t>
        </is>
      </c>
      <c r="E454" s="204" t="n">
        <v>42</v>
      </c>
      <c r="F454" s="204" t="n">
        <v>32</v>
      </c>
      <c r="G454" s="204" t="n">
        <v>2162</v>
      </c>
      <c r="H454" s="204" t="n">
        <v>1622</v>
      </c>
      <c r="I454" s="204" t="n">
        <v>540</v>
      </c>
      <c r="J454" s="205" t="n">
        <v>514.83</v>
      </c>
      <c r="K454" s="205" t="n">
        <v>506.91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文曄(3036)</t>
        </is>
      </c>
      <c r="E455" s="204" t="n">
        <v>102</v>
      </c>
      <c r="F455" s="204" t="n">
        <v>6</v>
      </c>
      <c r="G455" s="204" t="n">
        <v>2144</v>
      </c>
      <c r="H455" s="204" t="n">
        <v>118</v>
      </c>
      <c r="I455" s="204" t="n">
        <v>2026</v>
      </c>
      <c r="J455" s="205" t="n">
        <v>210.17</v>
      </c>
      <c r="K455" s="205" t="n">
        <v>196.5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旺矽(6223)</t>
        </is>
      </c>
      <c r="E456" s="204" t="n">
        <v>4</v>
      </c>
      <c r="F456" s="204" t="n">
        <v>2</v>
      </c>
      <c r="G456" s="204" t="n">
        <v>1806</v>
      </c>
      <c r="H456" s="204" t="n">
        <v>1022</v>
      </c>
      <c r="I456" s="204" t="n">
        <v>784</v>
      </c>
      <c r="J456" s="205" t="n">
        <v>4516</v>
      </c>
      <c r="K456" s="205" t="n">
        <v>5110.5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玉晶光(3406)</t>
        </is>
      </c>
      <c r="E457" s="204" t="n">
        <v>18</v>
      </c>
      <c r="F457" s="204" t="n">
        <v>6</v>
      </c>
      <c r="G457" s="204" t="n">
        <v>1667</v>
      </c>
      <c r="H457" s="204" t="n">
        <v>585</v>
      </c>
      <c r="I457" s="204" t="n">
        <v>1082</v>
      </c>
      <c r="J457" s="205" t="n">
        <v>925.9400000000001</v>
      </c>
      <c r="K457" s="205" t="n">
        <v>975.67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凱基金(2883)</t>
        </is>
      </c>
      <c r="E458" s="204" t="n">
        <v>401</v>
      </c>
      <c r="F458" s="204" t="n">
        <v>191</v>
      </c>
      <c r="G458" s="204" t="n">
        <v>1478</v>
      </c>
      <c r="H458" s="204" t="n">
        <v>705</v>
      </c>
      <c r="I458" s="204" t="n">
        <v>773</v>
      </c>
      <c r="J458" s="205" t="n">
        <v>36.86</v>
      </c>
      <c r="K458" s="205" t="n">
        <v>36.91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辛耘(3583)</t>
        </is>
      </c>
      <c r="E459" s="204" t="n">
        <v>19</v>
      </c>
      <c r="F459" s="204" t="n">
        <v>1</v>
      </c>
      <c r="G459" s="204" t="n">
        <v>1369</v>
      </c>
      <c r="H459" s="204" t="n">
        <v>98</v>
      </c>
      <c r="I459" s="204" t="n">
        <v>1271</v>
      </c>
      <c r="J459" s="205" t="n">
        <v>720.63</v>
      </c>
      <c r="K459" s="205" t="n">
        <v>975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巨有科技(8227)</t>
        </is>
      </c>
      <c r="E460" s="204" t="n">
        <v>35</v>
      </c>
      <c r="F460" s="204" t="n">
        <v>18</v>
      </c>
      <c r="G460" s="204" t="n">
        <v>1274</v>
      </c>
      <c r="H460" s="204" t="n">
        <v>665</v>
      </c>
      <c r="I460" s="204" t="n">
        <v>609</v>
      </c>
      <c r="J460" s="205" t="n">
        <v>364.14</v>
      </c>
      <c r="K460" s="205" t="n">
        <v>369.39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聖暉*(5536)</t>
        </is>
      </c>
      <c r="E461" s="204" t="n">
        <v>12</v>
      </c>
      <c r="F461" s="204" t="n">
        <v>5</v>
      </c>
      <c r="G461" s="204" t="n">
        <v>1176</v>
      </c>
      <c r="H461" s="204" t="n">
        <v>481</v>
      </c>
      <c r="I461" s="204" t="n">
        <v>695</v>
      </c>
      <c r="J461" s="205" t="n">
        <v>980.08</v>
      </c>
      <c r="K461" s="205" t="n">
        <v>961.2</v>
      </c>
      <c r="L461" s="254">
        <f>F461*(K461-J461)</f>
        <v/>
      </c>
    </row>
    <row r="462" ht="16.5" customHeight="1">
      <c r="A462" s="206" t="n"/>
      <c r="B462" s="206" t="n"/>
      <c r="C462" s="206" t="n"/>
      <c r="D462" s="203" t="inlineStr">
        <is>
          <t>群聯(8299)</t>
        </is>
      </c>
      <c r="E462" s="204" t="n">
        <v>5</v>
      </c>
      <c r="F462" s="204" t="n">
        <v>2</v>
      </c>
      <c r="G462" s="204" t="n">
        <v>1140</v>
      </c>
      <c r="H462" s="204" t="n">
        <v>448</v>
      </c>
      <c r="I462" s="204" t="n">
        <v>692</v>
      </c>
      <c r="J462" s="205" t="n">
        <v>2279.6</v>
      </c>
      <c r="K462" s="205" t="n">
        <v>2238.5</v>
      </c>
      <c r="L462" s="254">
        <f>F462*(K462-J462)</f>
        <v/>
      </c>
    </row>
    <row r="463" ht="16.5" customHeight="1">
      <c r="A463" s="207" t="inlineStr">
        <is>
          <t>高手</t>
        </is>
      </c>
      <c r="B463" s="207" t="inlineStr">
        <is>
          <t>分點</t>
        </is>
      </c>
      <c r="C463" s="207" t="inlineStr">
        <is>
          <t>代號</t>
        </is>
      </c>
      <c r="D463" s="207" t="inlineStr">
        <is>
          <t>標的</t>
        </is>
      </c>
      <c r="E463" s="207" t="inlineStr">
        <is>
          <t>買進(張)</t>
        </is>
      </c>
      <c r="F463" s="207" t="inlineStr">
        <is>
          <t>賣出(張)</t>
        </is>
      </c>
      <c r="G463" s="207" t="inlineStr">
        <is>
          <t>買進(萬元)</t>
        </is>
      </c>
      <c r="H463" s="207" t="inlineStr">
        <is>
          <t>賣出(萬元)</t>
        </is>
      </c>
      <c r="I463" s="207" t="inlineStr">
        <is>
          <t>淨買差(萬元)</t>
        </is>
      </c>
      <c r="J463" s="207" t="inlineStr">
        <is>
          <t>買均</t>
        </is>
      </c>
      <c r="K463" s="207" t="inlineStr">
        <is>
          <t>賣均</t>
        </is>
      </c>
      <c r="L463" s="207" t="inlineStr">
        <is>
          <t>損益(萬)</t>
        </is>
      </c>
    </row>
    <row r="464" ht="16.5" customHeight="1">
      <c r="A464" s="208" t="inlineStr">
        <is>
          <t>竹科主力分點</t>
        </is>
      </c>
      <c r="B464" s="209" t="inlineStr">
        <is>
          <t>兆豐-新竹</t>
        </is>
      </c>
      <c r="C464" s="209" t="inlineStr">
        <is>
          <t>700V</t>
        </is>
      </c>
      <c r="D464" s="210" t="inlineStr">
        <is>
          <t>巨有科技(8227)</t>
        </is>
      </c>
      <c r="E464" s="211" t="n">
        <v>151</v>
      </c>
      <c r="F464" s="211" t="n">
        <v>73</v>
      </c>
      <c r="G464" s="211" t="n">
        <v>5504</v>
      </c>
      <c r="H464" s="211" t="n">
        <v>2721</v>
      </c>
      <c r="I464" s="211" t="n">
        <v>2783</v>
      </c>
      <c r="J464" s="212" t="n">
        <v>364.49</v>
      </c>
      <c r="K464" s="212" t="n">
        <v>372.73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景碩(3189)</t>
        </is>
      </c>
      <c r="E465" s="211" t="n">
        <v>22</v>
      </c>
      <c r="F465" s="211" t="n">
        <v>19</v>
      </c>
      <c r="G465" s="211" t="n">
        <v>2237</v>
      </c>
      <c r="H465" s="211" t="n">
        <v>1877</v>
      </c>
      <c r="I465" s="211" t="n">
        <v>360</v>
      </c>
      <c r="J465" s="212" t="n">
        <v>1017</v>
      </c>
      <c r="K465" s="212" t="n">
        <v>987.79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友達(2409)</t>
        </is>
      </c>
      <c r="E466" s="211" t="n">
        <v>577</v>
      </c>
      <c r="F466" s="211" t="n">
        <v>203</v>
      </c>
      <c r="G466" s="211" t="n">
        <v>2220</v>
      </c>
      <c r="H466" s="211" t="n">
        <v>784</v>
      </c>
      <c r="I466" s="211" t="n">
        <v>1436</v>
      </c>
      <c r="J466" s="212" t="n">
        <v>38.47</v>
      </c>
      <c r="K466" s="212" t="n">
        <v>38.6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定穎投控(3715)</t>
        </is>
      </c>
      <c r="E467" s="211" t="n">
        <v>126</v>
      </c>
      <c r="F467" s="211" t="n">
        <v>3</v>
      </c>
      <c r="G467" s="211" t="n">
        <v>1615</v>
      </c>
      <c r="H467" s="211" t="n">
        <v>38</v>
      </c>
      <c r="I467" s="211" t="n">
        <v>1577</v>
      </c>
      <c r="J467" s="212" t="n">
        <v>128.2</v>
      </c>
      <c r="K467" s="212" t="n">
        <v>127.67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群創(3481)</t>
        </is>
      </c>
      <c r="E468" s="211" t="n">
        <v>260</v>
      </c>
      <c r="F468" s="211" t="n">
        <v>67</v>
      </c>
      <c r="G468" s="211" t="n">
        <v>1375</v>
      </c>
      <c r="H468" s="211" t="n">
        <v>349</v>
      </c>
      <c r="I468" s="211" t="n">
        <v>1026</v>
      </c>
      <c r="J468" s="212" t="n">
        <v>52.88</v>
      </c>
      <c r="K468" s="212" t="n">
        <v>52.03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合晶(6182)</t>
        </is>
      </c>
      <c r="E469" s="211" t="n">
        <v>102</v>
      </c>
      <c r="F469" s="211" t="n">
        <v>54</v>
      </c>
      <c r="G469" s="211" t="n">
        <v>1352</v>
      </c>
      <c r="H469" s="211" t="n">
        <v>704</v>
      </c>
      <c r="I469" s="211" t="n">
        <v>648</v>
      </c>
      <c r="J469" s="212" t="n">
        <v>132.59</v>
      </c>
      <c r="K469" s="212" t="n">
        <v>130.3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1253</v>
      </c>
      <c r="H470" s="211" t="n">
        <v>678</v>
      </c>
      <c r="I470" s="211" t="n">
        <v>575</v>
      </c>
      <c r="J470" s="212" t="n">
        <v>4177.67</v>
      </c>
      <c r="K470" s="212" t="n">
        <v>6780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晶豪科(3006)</t>
        </is>
      </c>
      <c r="E471" s="211" t="n">
        <v>39</v>
      </c>
      <c r="F471" s="211" t="n">
        <v>21</v>
      </c>
      <c r="G471" s="211" t="n">
        <v>1099</v>
      </c>
      <c r="H471" s="211" t="n">
        <v>592</v>
      </c>
      <c r="I471" s="211" t="n">
        <v>507</v>
      </c>
      <c r="J471" s="212" t="n">
        <v>281.69</v>
      </c>
      <c r="K471" s="212" t="n">
        <v>281.95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玉晶光(3406)</t>
        </is>
      </c>
      <c r="E472" s="211" t="n">
        <v>11</v>
      </c>
      <c r="F472" s="211" t="n">
        <v>7</v>
      </c>
      <c r="G472" s="211" t="n">
        <v>1032</v>
      </c>
      <c r="H472" s="211" t="n">
        <v>674</v>
      </c>
      <c r="I472" s="211" t="n">
        <v>358</v>
      </c>
      <c r="J472" s="212" t="n">
        <v>937.73</v>
      </c>
      <c r="K472" s="212" t="n">
        <v>963.14</v>
      </c>
      <c r="L472" s="253">
        <f>F472*(K472-J472)</f>
        <v/>
      </c>
    </row>
    <row r="473" ht="16.5" customHeight="1">
      <c r="A473" s="213" t="n"/>
      <c r="B473" s="213" t="n"/>
      <c r="C473" s="213" t="n"/>
      <c r="D473" s="210" t="inlineStr">
        <is>
          <t>正達(3149)</t>
        </is>
      </c>
      <c r="E473" s="211" t="n">
        <v>134</v>
      </c>
      <c r="F473" s="211" t="n">
        <v>103</v>
      </c>
      <c r="G473" s="211" t="n">
        <v>992</v>
      </c>
      <c r="H473" s="211" t="n">
        <v>770</v>
      </c>
      <c r="I473" s="211" t="n">
        <v>222</v>
      </c>
      <c r="J473" s="212" t="n">
        <v>74.02</v>
      </c>
      <c r="K473" s="212" t="n">
        <v>74.72</v>
      </c>
      <c r="L473" s="253">
        <f>F473*(K473-J473)</f>
        <v/>
      </c>
    </row>
    <row r="474" ht="16.5" customHeight="1">
      <c r="A474" s="214" t="n"/>
      <c r="B474" s="207" t="inlineStr">
        <is>
          <t>分點</t>
        </is>
      </c>
      <c r="C474" s="207" t="inlineStr">
        <is>
          <t>代號</t>
        </is>
      </c>
      <c r="D474" s="207" t="inlineStr">
        <is>
          <t>標的</t>
        </is>
      </c>
      <c r="E474" s="207" t="inlineStr">
        <is>
          <t>買進(張)</t>
        </is>
      </c>
      <c r="F474" s="207" t="inlineStr">
        <is>
          <t>賣出(張)</t>
        </is>
      </c>
      <c r="G474" s="207" t="inlineStr">
        <is>
          <t>買進(萬元)</t>
        </is>
      </c>
      <c r="H474" s="207" t="inlineStr">
        <is>
          <t>賣出(萬元)</t>
        </is>
      </c>
      <c r="I474" s="207" t="inlineStr">
        <is>
          <t>淨買差(萬元)</t>
        </is>
      </c>
      <c r="J474" s="207" t="inlineStr">
        <is>
          <t>買均</t>
        </is>
      </c>
      <c r="K474" s="207" t="inlineStr">
        <is>
          <t>賣均</t>
        </is>
      </c>
      <c r="L474" s="207" t="inlineStr">
        <is>
          <t>損益(萬)</t>
        </is>
      </c>
    </row>
    <row r="475" ht="16.5" customHeight="1">
      <c r="A475" s="213" t="n"/>
      <c r="B475" s="209" t="inlineStr">
        <is>
          <t>富邦-新竹</t>
        </is>
      </c>
      <c r="C475" s="209" t="inlineStr">
        <is>
          <t>9647</t>
        </is>
      </c>
      <c r="D475" s="210" t="inlineStr">
        <is>
          <t>聯發科(2454)</t>
        </is>
      </c>
      <c r="E475" s="211" t="n">
        <v>20</v>
      </c>
      <c r="F475" s="211" t="n">
        <v>4</v>
      </c>
      <c r="G475" s="211" t="n">
        <v>9715</v>
      </c>
      <c r="H475" s="211" t="n">
        <v>2038</v>
      </c>
      <c r="I475" s="211" t="n">
        <v>7677</v>
      </c>
      <c r="J475" s="212" t="n">
        <v>4857.45</v>
      </c>
      <c r="K475" s="212" t="n">
        <v>5094.75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1892</v>
      </c>
      <c r="F476" s="211" t="n">
        <v>1685</v>
      </c>
      <c r="G476" s="211" t="n">
        <v>7329</v>
      </c>
      <c r="H476" s="211" t="n">
        <v>6492</v>
      </c>
      <c r="I476" s="211" t="n">
        <v>837</v>
      </c>
      <c r="J476" s="212" t="n">
        <v>38.74</v>
      </c>
      <c r="K476" s="212" t="n">
        <v>38.53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京元電子(2449)</t>
        </is>
      </c>
      <c r="E477" s="211" t="n">
        <v>240</v>
      </c>
      <c r="F477" s="211" t="n">
        <v>13</v>
      </c>
      <c r="G477" s="211" t="n">
        <v>7067</v>
      </c>
      <c r="H477" s="211" t="n">
        <v>396</v>
      </c>
      <c r="I477" s="211" t="n">
        <v>6671</v>
      </c>
      <c r="J477" s="212" t="n">
        <v>294.47</v>
      </c>
      <c r="K477" s="212" t="n">
        <v>304.62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群創(3481)</t>
        </is>
      </c>
      <c r="E478" s="211" t="n">
        <v>1230</v>
      </c>
      <c r="F478" s="211" t="n">
        <v>764</v>
      </c>
      <c r="G478" s="211" t="n">
        <v>6518</v>
      </c>
      <c r="H478" s="211" t="n">
        <v>4037</v>
      </c>
      <c r="I478" s="211" t="n">
        <v>2481</v>
      </c>
      <c r="J478" s="212" t="n">
        <v>52.99</v>
      </c>
      <c r="K478" s="212" t="n">
        <v>52.85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合晶(6182)</t>
        </is>
      </c>
      <c r="E479" s="211" t="n">
        <v>331</v>
      </c>
      <c r="F479" s="211" t="n">
        <v>177</v>
      </c>
      <c r="G479" s="211" t="n">
        <v>4428</v>
      </c>
      <c r="H479" s="211" t="n">
        <v>2350</v>
      </c>
      <c r="I479" s="211" t="n">
        <v>2078</v>
      </c>
      <c r="J479" s="212" t="n">
        <v>133.78</v>
      </c>
      <c r="K479" s="212" t="n">
        <v>132.78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健策(3653)</t>
        </is>
      </c>
      <c r="E480" s="211" t="n">
        <v>6</v>
      </c>
      <c r="F480" s="211" t="n">
        <v>1</v>
      </c>
      <c r="G480" s="211" t="n">
        <v>4073</v>
      </c>
      <c r="H480" s="211" t="n">
        <v>22</v>
      </c>
      <c r="I480" s="211" t="n">
        <v>4051</v>
      </c>
      <c r="J480" s="212" t="n">
        <v>6788.5</v>
      </c>
      <c r="K480" s="212" t="n">
        <v>217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群聯(8299)</t>
        </is>
      </c>
      <c r="E481" s="211" t="n">
        <v>12</v>
      </c>
      <c r="F481" s="211" t="n">
        <v>2</v>
      </c>
      <c r="G481" s="211" t="n">
        <v>2579</v>
      </c>
      <c r="H481" s="211" t="n">
        <v>320</v>
      </c>
      <c r="I481" s="211" t="n">
        <v>2259</v>
      </c>
      <c r="J481" s="212" t="n">
        <v>2149</v>
      </c>
      <c r="K481" s="212" t="n">
        <v>1602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高力(8996)</t>
        </is>
      </c>
      <c r="E482" s="211" t="n">
        <v>14</v>
      </c>
      <c r="F482" s="211" t="n">
        <v>2</v>
      </c>
      <c r="G482" s="211" t="n">
        <v>2205</v>
      </c>
      <c r="H482" s="211" t="n">
        <v>326</v>
      </c>
      <c r="I482" s="211" t="n">
        <v>1879</v>
      </c>
      <c r="J482" s="212" t="n">
        <v>1575.29</v>
      </c>
      <c r="K482" s="212" t="n">
        <v>1628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雍智科技(6683)</t>
        </is>
      </c>
      <c r="E483" s="211" t="n">
        <v>13</v>
      </c>
      <c r="F483" s="211" t="n">
        <v>5</v>
      </c>
      <c r="G483" s="211" t="n">
        <v>2080</v>
      </c>
      <c r="H483" s="211" t="n">
        <v>817</v>
      </c>
      <c r="I483" s="211" t="n">
        <v>1263</v>
      </c>
      <c r="J483" s="212" t="n">
        <v>1600</v>
      </c>
      <c r="K483" s="212" t="n">
        <v>1633.6</v>
      </c>
      <c r="L483" s="253">
        <f>F483*(K483-J483)</f>
        <v/>
      </c>
    </row>
    <row r="484" ht="16.5" customHeight="1">
      <c r="A484" s="213" t="n"/>
      <c r="B484" s="213" t="n"/>
      <c r="C484" s="213" t="n"/>
      <c r="D484" s="210" t="inlineStr">
        <is>
          <t>台達電(2308)</t>
        </is>
      </c>
      <c r="E484" s="211" t="n">
        <v>10</v>
      </c>
      <c r="F484" s="211" t="n">
        <v>3</v>
      </c>
      <c r="G484" s="211" t="n">
        <v>1988</v>
      </c>
      <c r="H484" s="211" t="n">
        <v>581</v>
      </c>
      <c r="I484" s="211" t="n">
        <v>1407</v>
      </c>
      <c r="J484" s="212" t="n">
        <v>1988.5</v>
      </c>
      <c r="K484" s="212" t="n">
        <v>1936.67</v>
      </c>
      <c r="L484" s="254">
        <f>F484*(K484-J484)</f>
        <v/>
      </c>
    </row>
    <row r="485" ht="16.5" customHeight="1">
      <c r="A485" s="215" t="inlineStr">
        <is>
          <t>高手</t>
        </is>
      </c>
      <c r="B485" s="215" t="inlineStr">
        <is>
          <t>分點</t>
        </is>
      </c>
      <c r="C485" s="215" t="inlineStr">
        <is>
          <t>代號</t>
        </is>
      </c>
      <c r="D485" s="215" t="inlineStr">
        <is>
          <t>標的</t>
        </is>
      </c>
      <c r="E485" s="215" t="inlineStr">
        <is>
          <t>買進(張)</t>
        </is>
      </c>
      <c r="F485" s="215" t="inlineStr">
        <is>
          <t>賣出(張)</t>
        </is>
      </c>
      <c r="G485" s="215" t="inlineStr">
        <is>
          <t>買進(萬元)</t>
        </is>
      </c>
      <c r="H485" s="215" t="inlineStr">
        <is>
          <t>賣出(萬元)</t>
        </is>
      </c>
      <c r="I485" s="215" t="inlineStr">
        <is>
          <t>淨買差(萬元)</t>
        </is>
      </c>
      <c r="J485" s="215" t="inlineStr">
        <is>
          <t>買均</t>
        </is>
      </c>
      <c r="K485" s="215" t="inlineStr">
        <is>
          <t>賣均</t>
        </is>
      </c>
      <c r="L485" s="215" t="inlineStr">
        <is>
          <t>損益(萬)</t>
        </is>
      </c>
    </row>
    <row r="486" ht="16.5" customHeight="1">
      <c r="A486" s="216" t="inlineStr">
        <is>
          <t>全村希望資本_村長</t>
        </is>
      </c>
      <c r="B486" s="217" t="inlineStr">
        <is>
          <t>新光-高雄</t>
        </is>
      </c>
      <c r="C486" s="217" t="inlineStr">
        <is>
          <t>8562</t>
        </is>
      </c>
      <c r="D486" s="218" t="inlineStr">
        <is>
          <t>友達(2409)</t>
        </is>
      </c>
      <c r="E486" s="219" t="n">
        <v>1595</v>
      </c>
      <c r="F486" s="219" t="n">
        <v>1421</v>
      </c>
      <c r="G486" s="219" t="n">
        <v>6182</v>
      </c>
      <c r="H486" s="219" t="n">
        <v>5524</v>
      </c>
      <c r="I486" s="219" t="n">
        <v>658</v>
      </c>
      <c r="J486" s="220" t="n">
        <v>38.76</v>
      </c>
      <c r="K486" s="220" t="n">
        <v>38.87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群創(3481)</t>
        </is>
      </c>
      <c r="E487" s="219" t="n">
        <v>1148</v>
      </c>
      <c r="F487" s="219" t="n">
        <v>410</v>
      </c>
      <c r="G487" s="219" t="n">
        <v>6108</v>
      </c>
      <c r="H487" s="219" t="n">
        <v>2160</v>
      </c>
      <c r="I487" s="219" t="n">
        <v>3948</v>
      </c>
      <c r="J487" s="220" t="n">
        <v>53.2</v>
      </c>
      <c r="K487" s="220" t="n">
        <v>52.68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合晶(6182)</t>
        </is>
      </c>
      <c r="E488" s="219" t="n">
        <v>342</v>
      </c>
      <c r="F488" s="219" t="n">
        <v>269</v>
      </c>
      <c r="G488" s="219" t="n">
        <v>4557</v>
      </c>
      <c r="H488" s="219" t="n">
        <v>3574</v>
      </c>
      <c r="I488" s="219" t="n">
        <v>983</v>
      </c>
      <c r="J488" s="220" t="n">
        <v>133.25</v>
      </c>
      <c r="K488" s="220" t="n">
        <v>132.86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78</v>
      </c>
      <c r="F489" s="219" t="n">
        <v>62</v>
      </c>
      <c r="G489" s="219" t="n">
        <v>4214</v>
      </c>
      <c r="H489" s="219" t="n">
        <v>3318</v>
      </c>
      <c r="I489" s="219" t="n">
        <v>896</v>
      </c>
      <c r="J489" s="220" t="n">
        <v>540.24</v>
      </c>
      <c r="K489" s="220" t="n">
        <v>535.21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巨有科技(8227)</t>
        </is>
      </c>
      <c r="E490" s="219" t="n">
        <v>109</v>
      </c>
      <c r="F490" s="219" t="n">
        <v>25</v>
      </c>
      <c r="G490" s="219" t="n">
        <v>4069</v>
      </c>
      <c r="H490" s="219" t="n">
        <v>917</v>
      </c>
      <c r="I490" s="219" t="n">
        <v>3152</v>
      </c>
      <c r="J490" s="220" t="n">
        <v>373.29</v>
      </c>
      <c r="K490" s="220" t="n">
        <v>366.8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南亞(1303)</t>
        </is>
      </c>
      <c r="E491" s="219" t="n">
        <v>130</v>
      </c>
      <c r="F491" s="219" t="n">
        <v>86</v>
      </c>
      <c r="G491" s="219" t="n">
        <v>3310</v>
      </c>
      <c r="H491" s="219" t="n">
        <v>2203</v>
      </c>
      <c r="I491" s="219" t="n">
        <v>1107</v>
      </c>
      <c r="J491" s="220" t="n">
        <v>254.63</v>
      </c>
      <c r="K491" s="220" t="n">
        <v>256.21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信昌電(6173)</t>
        </is>
      </c>
      <c r="E492" s="219" t="n">
        <v>90</v>
      </c>
      <c r="F492" s="219" t="n">
        <v>59</v>
      </c>
      <c r="G492" s="219" t="n">
        <v>2725</v>
      </c>
      <c r="H492" s="219" t="n">
        <v>1801</v>
      </c>
      <c r="I492" s="219" t="n">
        <v>924</v>
      </c>
      <c r="J492" s="220" t="n">
        <v>302.74</v>
      </c>
      <c r="K492" s="220" t="n">
        <v>305.19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中美晶(5483)</t>
        </is>
      </c>
      <c r="E493" s="219" t="n">
        <v>109</v>
      </c>
      <c r="F493" s="219" t="n">
        <v>73</v>
      </c>
      <c r="G493" s="219" t="n">
        <v>2320</v>
      </c>
      <c r="H493" s="219" t="n">
        <v>1552</v>
      </c>
      <c r="I493" s="219" t="n">
        <v>768</v>
      </c>
      <c r="J493" s="220" t="n">
        <v>212.81</v>
      </c>
      <c r="K493" s="220" t="n">
        <v>212.67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金像電(2368)</t>
        </is>
      </c>
      <c r="E494" s="219" t="n">
        <v>18</v>
      </c>
      <c r="F494" s="219" t="n">
        <v>9</v>
      </c>
      <c r="G494" s="219" t="n">
        <v>1945</v>
      </c>
      <c r="H494" s="219" t="n">
        <v>992</v>
      </c>
      <c r="I494" s="219" t="n">
        <v>953</v>
      </c>
      <c r="J494" s="220" t="n">
        <v>1080.39</v>
      </c>
      <c r="K494" s="220" t="n">
        <v>1101.67</v>
      </c>
      <c r="L494" s="253">
        <f>F494*(K494-J494)</f>
        <v/>
      </c>
    </row>
    <row r="495" ht="16.5" customHeight="1">
      <c r="A495" s="221" t="n"/>
      <c r="B495" s="221" t="n"/>
      <c r="C495" s="221" t="n"/>
      <c r="D495" s="218" t="inlineStr">
        <is>
          <t>旺矽(6223)</t>
        </is>
      </c>
      <c r="E495" s="219" t="n">
        <v>3</v>
      </c>
      <c r="F495" s="219" t="n">
        <v>2</v>
      </c>
      <c r="G495" s="219" t="n">
        <v>1684</v>
      </c>
      <c r="H495" s="219" t="n">
        <v>1081</v>
      </c>
      <c r="I495" s="219" t="n">
        <v>603</v>
      </c>
      <c r="J495" s="220" t="n">
        <v>5613.67</v>
      </c>
      <c r="K495" s="220" t="n">
        <v>5406</v>
      </c>
      <c r="L495" s="254">
        <f>F495*(K495-J495)</f>
        <v/>
      </c>
    </row>
    <row r="496" ht="16.5" customHeight="1">
      <c r="A496" s="222" t="n"/>
      <c r="B496" s="215" t="inlineStr">
        <is>
          <t>分點</t>
        </is>
      </c>
      <c r="C496" s="215" t="inlineStr">
        <is>
          <t>代號</t>
        </is>
      </c>
      <c r="D496" s="215" t="inlineStr">
        <is>
          <t>標的</t>
        </is>
      </c>
      <c r="E496" s="215" t="inlineStr">
        <is>
          <t>買進(張)</t>
        </is>
      </c>
      <c r="F496" s="215" t="inlineStr">
        <is>
          <t>賣出(張)</t>
        </is>
      </c>
      <c r="G496" s="215" t="inlineStr">
        <is>
          <t>買進(萬元)</t>
        </is>
      </c>
      <c r="H496" s="215" t="inlineStr">
        <is>
          <t>賣出(萬元)</t>
        </is>
      </c>
      <c r="I496" s="215" t="inlineStr">
        <is>
          <t>淨買差(萬元)</t>
        </is>
      </c>
      <c r="J496" s="215" t="inlineStr">
        <is>
          <t>買均</t>
        </is>
      </c>
      <c r="K496" s="215" t="inlineStr">
        <is>
          <t>賣均</t>
        </is>
      </c>
      <c r="L496" s="215" t="inlineStr">
        <is>
          <t>損益(萬)</t>
        </is>
      </c>
    </row>
    <row r="497" ht="16.5" customHeight="1">
      <c r="A497" s="221" t="n"/>
      <c r="B497" s="217" t="inlineStr">
        <is>
          <t>玉山-台南</t>
        </is>
      </c>
      <c r="C497" s="217" t="inlineStr">
        <is>
          <t>8847</t>
        </is>
      </c>
      <c r="D497" s="218" t="inlineStr">
        <is>
          <t>友達(2409)</t>
        </is>
      </c>
      <c r="E497" s="219" t="n">
        <v>1803</v>
      </c>
      <c r="F497" s="219" t="n">
        <v>1227</v>
      </c>
      <c r="G497" s="219" t="n">
        <v>7011</v>
      </c>
      <c r="H497" s="219" t="n">
        <v>4747</v>
      </c>
      <c r="I497" s="219" t="n">
        <v>2264</v>
      </c>
      <c r="J497" s="220" t="n">
        <v>38.89</v>
      </c>
      <c r="K497" s="220" t="n">
        <v>38.69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聯電(2303)</t>
        </is>
      </c>
      <c r="E498" s="219" t="n">
        <v>353</v>
      </c>
      <c r="F498" s="219" t="n">
        <v>277</v>
      </c>
      <c r="G498" s="219" t="n">
        <v>5635</v>
      </c>
      <c r="H498" s="219" t="n">
        <v>4386</v>
      </c>
      <c r="I498" s="219" t="n">
        <v>1249</v>
      </c>
      <c r="J498" s="220" t="n">
        <v>159.62</v>
      </c>
      <c r="K498" s="220" t="n">
        <v>158.36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合晶(6182)</t>
        </is>
      </c>
      <c r="E499" s="219" t="n">
        <v>301</v>
      </c>
      <c r="F499" s="219" t="n">
        <v>256</v>
      </c>
      <c r="G499" s="219" t="n">
        <v>4038</v>
      </c>
      <c r="H499" s="219" t="n">
        <v>3382</v>
      </c>
      <c r="I499" s="219" t="n">
        <v>656</v>
      </c>
      <c r="J499" s="220" t="n">
        <v>134.14</v>
      </c>
      <c r="K499" s="220" t="n">
        <v>132.11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聯發科(2454)</t>
        </is>
      </c>
      <c r="E500" s="219" t="n">
        <v>8</v>
      </c>
      <c r="F500" s="219" t="n">
        <v>2</v>
      </c>
      <c r="G500" s="219" t="n">
        <v>4009</v>
      </c>
      <c r="H500" s="219" t="n">
        <v>839</v>
      </c>
      <c r="I500" s="219" t="n">
        <v>3170</v>
      </c>
      <c r="J500" s="220" t="n">
        <v>5011.75</v>
      </c>
      <c r="K500" s="220" t="n">
        <v>4193.5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群創(3481)</t>
        </is>
      </c>
      <c r="E501" s="219" t="n">
        <v>687</v>
      </c>
      <c r="F501" s="219" t="n">
        <v>473</v>
      </c>
      <c r="G501" s="219" t="n">
        <v>3647</v>
      </c>
      <c r="H501" s="219" t="n">
        <v>2493</v>
      </c>
      <c r="I501" s="219" t="n">
        <v>1154</v>
      </c>
      <c r="J501" s="220" t="n">
        <v>53.09</v>
      </c>
      <c r="K501" s="220" t="n">
        <v>52.71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台燿(6274)</t>
        </is>
      </c>
      <c r="E502" s="219" t="n">
        <v>18</v>
      </c>
      <c r="F502" s="219" t="n">
        <v>8</v>
      </c>
      <c r="G502" s="219" t="n">
        <v>2779</v>
      </c>
      <c r="H502" s="219" t="n">
        <v>1247</v>
      </c>
      <c r="I502" s="219" t="n">
        <v>1532</v>
      </c>
      <c r="J502" s="220" t="n">
        <v>1543.67</v>
      </c>
      <c r="K502" s="220" t="n">
        <v>1558.75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南亞(1303)</t>
        </is>
      </c>
      <c r="E503" s="219" t="n">
        <v>96</v>
      </c>
      <c r="F503" s="219" t="n">
        <v>76</v>
      </c>
      <c r="G503" s="219" t="n">
        <v>2449</v>
      </c>
      <c r="H503" s="219" t="n">
        <v>1930</v>
      </c>
      <c r="I503" s="219" t="n">
        <v>519</v>
      </c>
      <c r="J503" s="220" t="n">
        <v>255.07</v>
      </c>
      <c r="K503" s="220" t="n">
        <v>253.99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台虹(8039)</t>
        </is>
      </c>
      <c r="E504" s="219" t="n">
        <v>71</v>
      </c>
      <c r="F504" s="219" t="n">
        <v>38</v>
      </c>
      <c r="G504" s="219" t="n">
        <v>2073</v>
      </c>
      <c r="H504" s="219" t="n">
        <v>1096</v>
      </c>
      <c r="I504" s="219" t="n">
        <v>977</v>
      </c>
      <c r="J504" s="220" t="n">
        <v>292.03</v>
      </c>
      <c r="K504" s="220" t="n">
        <v>288.53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奇鋐(3017)</t>
        </is>
      </c>
      <c r="E505" s="219" t="n">
        <v>4</v>
      </c>
      <c r="F505" s="219" t="n">
        <v>3</v>
      </c>
      <c r="G505" s="219" t="n">
        <v>1446</v>
      </c>
      <c r="H505" s="219" t="n">
        <v>1036</v>
      </c>
      <c r="I505" s="219" t="n">
        <v>410</v>
      </c>
      <c r="J505" s="220" t="n">
        <v>3613.75</v>
      </c>
      <c r="K505" s="220" t="n">
        <v>3453.33</v>
      </c>
      <c r="L505" s="254">
        <f>F505*(K505-J505)</f>
        <v/>
      </c>
    </row>
    <row r="506" ht="16.5" customHeight="1">
      <c r="A506" s="221" t="n"/>
      <c r="B506" s="221" t="n"/>
      <c r="C506" s="221" t="n"/>
      <c r="D506" s="218" t="inlineStr">
        <is>
          <t>凱基金(2883)</t>
        </is>
      </c>
      <c r="E506" s="219" t="n">
        <v>382</v>
      </c>
      <c r="F506" s="219" t="n">
        <v>166</v>
      </c>
      <c r="G506" s="219" t="n">
        <v>1406</v>
      </c>
      <c r="H506" s="219" t="n">
        <v>616</v>
      </c>
      <c r="I506" s="219" t="n">
        <v>790</v>
      </c>
      <c r="J506" s="220" t="n">
        <v>36.81</v>
      </c>
      <c r="K506" s="220" t="n">
        <v>37.1</v>
      </c>
      <c r="L506" s="253">
        <f>F506*(K506-J506)</f>
        <v/>
      </c>
    </row>
    <row r="507" ht="16.5" customHeight="1">
      <c r="A507" s="222" t="n"/>
      <c r="B507" s="215" t="inlineStr">
        <is>
          <t>分點</t>
        </is>
      </c>
      <c r="C507" s="215" t="inlineStr">
        <is>
          <t>代號</t>
        </is>
      </c>
      <c r="D507" s="215" t="inlineStr">
        <is>
          <t>標的</t>
        </is>
      </c>
      <c r="E507" s="215" t="inlineStr">
        <is>
          <t>買進(張)</t>
        </is>
      </c>
      <c r="F507" s="215" t="inlineStr">
        <is>
          <t>賣出(張)</t>
        </is>
      </c>
      <c r="G507" s="215" t="inlineStr">
        <is>
          <t>買進(萬元)</t>
        </is>
      </c>
      <c r="H507" s="215" t="inlineStr">
        <is>
          <t>賣出(萬元)</t>
        </is>
      </c>
      <c r="I507" s="215" t="inlineStr">
        <is>
          <t>淨買差(萬元)</t>
        </is>
      </c>
      <c r="J507" s="215" t="inlineStr">
        <is>
          <t>買均</t>
        </is>
      </c>
      <c r="K507" s="215" t="inlineStr">
        <is>
          <t>賣均</t>
        </is>
      </c>
      <c r="L507" s="215" t="inlineStr">
        <is>
          <t>損益(萬)</t>
        </is>
      </c>
    </row>
    <row r="508" ht="16.5" customHeight="1">
      <c r="A508" s="221" t="n"/>
      <c r="B508" s="217" t="inlineStr">
        <is>
          <t>凱基-鳳山</t>
        </is>
      </c>
      <c r="C508" s="217" t="inlineStr">
        <is>
          <t>9274</t>
        </is>
      </c>
      <c r="D508" s="218" t="inlineStr">
        <is>
          <t>創意(3443)</t>
        </is>
      </c>
      <c r="E508" s="219" t="n">
        <v>9</v>
      </c>
      <c r="F508" s="219" t="n">
        <v>4</v>
      </c>
      <c r="G508" s="219" t="n">
        <v>7096</v>
      </c>
      <c r="H508" s="219" t="n">
        <v>3159</v>
      </c>
      <c r="I508" s="219" t="n">
        <v>3937</v>
      </c>
      <c r="J508" s="220" t="n">
        <v>7884.67</v>
      </c>
      <c r="K508" s="220" t="n">
        <v>7897.5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高力(8996)</t>
        </is>
      </c>
      <c r="E509" s="219" t="n">
        <v>28</v>
      </c>
      <c r="F509" s="219" t="n">
        <v>7</v>
      </c>
      <c r="G509" s="219" t="n">
        <v>4361</v>
      </c>
      <c r="H509" s="219" t="n">
        <v>1102</v>
      </c>
      <c r="I509" s="219" t="n">
        <v>3259</v>
      </c>
      <c r="J509" s="220" t="n">
        <v>1557.64</v>
      </c>
      <c r="K509" s="220" t="n">
        <v>1573.71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環球晶(6488)</t>
        </is>
      </c>
      <c r="E510" s="219" t="n">
        <v>31</v>
      </c>
      <c r="F510" s="219" t="n">
        <v>17</v>
      </c>
      <c r="G510" s="219" t="n">
        <v>3431</v>
      </c>
      <c r="H510" s="219" t="n">
        <v>1809</v>
      </c>
      <c r="I510" s="219" t="n">
        <v>1622</v>
      </c>
      <c r="J510" s="220" t="n">
        <v>1106.71</v>
      </c>
      <c r="K510" s="220" t="n">
        <v>1064.18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合晶(6182)</t>
        </is>
      </c>
      <c r="E511" s="219" t="n">
        <v>200</v>
      </c>
      <c r="F511" s="219" t="n">
        <v>59</v>
      </c>
      <c r="G511" s="219" t="n">
        <v>2652</v>
      </c>
      <c r="H511" s="219" t="n">
        <v>783</v>
      </c>
      <c r="I511" s="219" t="n">
        <v>1869</v>
      </c>
      <c r="J511" s="220" t="n">
        <v>132.61</v>
      </c>
      <c r="K511" s="220" t="n">
        <v>132.64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信昌電(6173)</t>
        </is>
      </c>
      <c r="E512" s="219" t="n">
        <v>80</v>
      </c>
      <c r="F512" s="219" t="n">
        <v>25</v>
      </c>
      <c r="G512" s="219" t="n">
        <v>2466</v>
      </c>
      <c r="H512" s="219" t="n">
        <v>784</v>
      </c>
      <c r="I512" s="219" t="n">
        <v>1682</v>
      </c>
      <c r="J512" s="220" t="n">
        <v>308.23</v>
      </c>
      <c r="K512" s="220" t="n">
        <v>313.8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友達(2409)</t>
        </is>
      </c>
      <c r="E513" s="219" t="n">
        <v>552</v>
      </c>
      <c r="F513" s="219" t="n">
        <v>430</v>
      </c>
      <c r="G513" s="219" t="n">
        <v>2136</v>
      </c>
      <c r="H513" s="219" t="n">
        <v>1678</v>
      </c>
      <c r="I513" s="219" t="n">
        <v>458</v>
      </c>
      <c r="J513" s="220" t="n">
        <v>38.7</v>
      </c>
      <c r="K513" s="220" t="n">
        <v>39.03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南亞(1303)</t>
        </is>
      </c>
      <c r="E514" s="219" t="n">
        <v>78</v>
      </c>
      <c r="F514" s="219" t="n">
        <v>58</v>
      </c>
      <c r="G514" s="219" t="n">
        <v>1985</v>
      </c>
      <c r="H514" s="219" t="n">
        <v>1473</v>
      </c>
      <c r="I514" s="219" t="n">
        <v>512</v>
      </c>
      <c r="J514" s="220" t="n">
        <v>254.45</v>
      </c>
      <c r="K514" s="220" t="n">
        <v>253.98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晶技(3042)</t>
        </is>
      </c>
      <c r="E515" s="219" t="n">
        <v>84</v>
      </c>
      <c r="F515" s="219" t="n">
        <v>54</v>
      </c>
      <c r="G515" s="219" t="n">
        <v>1835</v>
      </c>
      <c r="H515" s="219" t="n">
        <v>1175</v>
      </c>
      <c r="I515" s="219" t="n">
        <v>660</v>
      </c>
      <c r="J515" s="220" t="n">
        <v>218.45</v>
      </c>
      <c r="K515" s="220" t="n">
        <v>217.57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力旺(3529)</t>
        </is>
      </c>
      <c r="E516" s="219" t="n">
        <v>4</v>
      </c>
      <c r="F516" s="219" t="n">
        <v>0</v>
      </c>
      <c r="G516" s="219" t="n">
        <v>1316</v>
      </c>
      <c r="H516" s="219" t="n">
        <v>0</v>
      </c>
      <c r="I516" s="219" t="n">
        <v>1316</v>
      </c>
      <c r="J516" s="220" t="n">
        <v>3291.25</v>
      </c>
      <c r="K516" s="220" t="n">
        <v>0</v>
      </c>
      <c r="L516" s="253">
        <f>F516*(K516-J516)</f>
        <v/>
      </c>
    </row>
    <row r="517" ht="16.5" customHeight="1">
      <c r="A517" s="221" t="n"/>
      <c r="B517" s="221" t="n"/>
      <c r="C517" s="221" t="n"/>
      <c r="D517" s="218" t="inlineStr">
        <is>
          <t>群創(3481)</t>
        </is>
      </c>
      <c r="E517" s="219" t="n">
        <v>236</v>
      </c>
      <c r="F517" s="219" t="n">
        <v>92</v>
      </c>
      <c r="G517" s="219" t="n">
        <v>1256</v>
      </c>
      <c r="H517" s="219" t="n">
        <v>489</v>
      </c>
      <c r="I517" s="219" t="n">
        <v>767</v>
      </c>
      <c r="J517" s="220" t="n">
        <v>53.22</v>
      </c>
      <c r="K517" s="220" t="n">
        <v>53.14</v>
      </c>
      <c r="L517" s="254">
        <f>F517*(K517-J517)</f>
        <v/>
      </c>
    </row>
    <row r="518" ht="16.5" customHeight="1">
      <c r="A518" s="222" t="n"/>
      <c r="B518" s="215" t="inlineStr">
        <is>
          <t>分點</t>
        </is>
      </c>
      <c r="C518" s="215" t="inlineStr">
        <is>
          <t>代號</t>
        </is>
      </c>
      <c r="D518" s="215" t="inlineStr">
        <is>
          <t>標的</t>
        </is>
      </c>
      <c r="E518" s="215" t="inlineStr">
        <is>
          <t>買進(張)</t>
        </is>
      </c>
      <c r="F518" s="215" t="inlineStr">
        <is>
          <t>賣出(張)</t>
        </is>
      </c>
      <c r="G518" s="215" t="inlineStr">
        <is>
          <t>買進(萬元)</t>
        </is>
      </c>
      <c r="H518" s="215" t="inlineStr">
        <is>
          <t>賣出(萬元)</t>
        </is>
      </c>
      <c r="I518" s="215" t="inlineStr">
        <is>
          <t>淨買差(萬元)</t>
        </is>
      </c>
      <c r="J518" s="215" t="inlineStr">
        <is>
          <t>買均</t>
        </is>
      </c>
      <c r="K518" s="215" t="inlineStr">
        <is>
          <t>賣均</t>
        </is>
      </c>
      <c r="L518" s="215" t="inlineStr">
        <is>
          <t>損益(萬)</t>
        </is>
      </c>
    </row>
    <row r="519" ht="16.5" customHeight="1">
      <c r="A519" s="221" t="n"/>
      <c r="B519" s="217" t="inlineStr">
        <is>
          <t>新光-台南</t>
        </is>
      </c>
      <c r="C519" s="217" t="inlineStr">
        <is>
          <t>8564</t>
        </is>
      </c>
      <c r="D519" s="218" t="inlineStr">
        <is>
          <t>群創(3481)</t>
        </is>
      </c>
      <c r="E519" s="219" t="n">
        <v>976</v>
      </c>
      <c r="F519" s="219" t="n">
        <v>519</v>
      </c>
      <c r="G519" s="219" t="n">
        <v>5198</v>
      </c>
      <c r="H519" s="219" t="n">
        <v>2753</v>
      </c>
      <c r="I519" s="219" t="n">
        <v>2445</v>
      </c>
      <c r="J519" s="220" t="n">
        <v>53.26</v>
      </c>
      <c r="K519" s="220" t="n">
        <v>53.04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穩懋(3105)</t>
        </is>
      </c>
      <c r="E520" s="219" t="n">
        <v>94</v>
      </c>
      <c r="F520" s="219" t="n">
        <v>68</v>
      </c>
      <c r="G520" s="219" t="n">
        <v>5058</v>
      </c>
      <c r="H520" s="219" t="n">
        <v>3682</v>
      </c>
      <c r="I520" s="219" t="n">
        <v>1376</v>
      </c>
      <c r="J520" s="220" t="n">
        <v>538.0700000000001</v>
      </c>
      <c r="K520" s="220" t="n">
        <v>541.4400000000001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友達(2409)</t>
        </is>
      </c>
      <c r="E521" s="219" t="n">
        <v>1232</v>
      </c>
      <c r="F521" s="219" t="n">
        <v>915</v>
      </c>
      <c r="G521" s="219" t="n">
        <v>4770</v>
      </c>
      <c r="H521" s="219" t="n">
        <v>3549</v>
      </c>
      <c r="I521" s="219" t="n">
        <v>1221</v>
      </c>
      <c r="J521" s="220" t="n">
        <v>38.72</v>
      </c>
      <c r="K521" s="220" t="n">
        <v>38.78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合晶(6182)</t>
        </is>
      </c>
      <c r="E522" s="219" t="n">
        <v>299</v>
      </c>
      <c r="F522" s="219" t="n">
        <v>229</v>
      </c>
      <c r="G522" s="219" t="n">
        <v>3999</v>
      </c>
      <c r="H522" s="219" t="n">
        <v>3034</v>
      </c>
      <c r="I522" s="219" t="n">
        <v>965</v>
      </c>
      <c r="J522" s="220" t="n">
        <v>133.74</v>
      </c>
      <c r="K522" s="220" t="n">
        <v>132.51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東捷(8064)</t>
        </is>
      </c>
      <c r="E523" s="219" t="n">
        <v>216</v>
      </c>
      <c r="F523" s="219" t="n">
        <v>72</v>
      </c>
      <c r="G523" s="219" t="n">
        <v>3138</v>
      </c>
      <c r="H523" s="219" t="n">
        <v>1044</v>
      </c>
      <c r="I523" s="219" t="n">
        <v>2094</v>
      </c>
      <c r="J523" s="220" t="n">
        <v>145.28</v>
      </c>
      <c r="K523" s="220" t="n">
        <v>144.97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南亞(1303)</t>
        </is>
      </c>
      <c r="E524" s="219" t="n">
        <v>115</v>
      </c>
      <c r="F524" s="219" t="n">
        <v>95</v>
      </c>
      <c r="G524" s="219" t="n">
        <v>2923</v>
      </c>
      <c r="H524" s="219" t="n">
        <v>2406</v>
      </c>
      <c r="I524" s="219" t="n">
        <v>517</v>
      </c>
      <c r="J524" s="220" t="n">
        <v>254.17</v>
      </c>
      <c r="K524" s="220" t="n">
        <v>253.22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中美晶(5483)</t>
        </is>
      </c>
      <c r="E525" s="219" t="n">
        <v>121</v>
      </c>
      <c r="F525" s="219" t="n">
        <v>102</v>
      </c>
      <c r="G525" s="219" t="n">
        <v>2564</v>
      </c>
      <c r="H525" s="219" t="n">
        <v>2151</v>
      </c>
      <c r="I525" s="219" t="n">
        <v>413</v>
      </c>
      <c r="J525" s="220" t="n">
        <v>211.93</v>
      </c>
      <c r="K525" s="220" t="n">
        <v>210.86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聯亞(3081)</t>
        </is>
      </c>
      <c r="E526" s="219" t="n">
        <v>9</v>
      </c>
      <c r="F526" s="219" t="n">
        <v>6</v>
      </c>
      <c r="G526" s="219" t="n">
        <v>2325</v>
      </c>
      <c r="H526" s="219" t="n">
        <v>1701</v>
      </c>
      <c r="I526" s="219" t="n">
        <v>624</v>
      </c>
      <c r="J526" s="220" t="n">
        <v>2583.22</v>
      </c>
      <c r="K526" s="220" t="n">
        <v>2834.67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力積電(6770)</t>
        </is>
      </c>
      <c r="E527" s="219" t="n">
        <v>295</v>
      </c>
      <c r="F527" s="219" t="n">
        <v>244</v>
      </c>
      <c r="G527" s="219" t="n">
        <v>2184</v>
      </c>
      <c r="H527" s="219" t="n">
        <v>1814</v>
      </c>
      <c r="I527" s="219" t="n">
        <v>370</v>
      </c>
      <c r="J527" s="220" t="n">
        <v>74.04000000000001</v>
      </c>
      <c r="K527" s="220" t="n">
        <v>74.34999999999999</v>
      </c>
      <c r="L527" s="253">
        <f>F527*(K527-J527)</f>
        <v/>
      </c>
    </row>
    <row r="528" ht="16.5" customHeight="1">
      <c r="A528" s="221" t="n"/>
      <c r="B528" s="221" t="n"/>
      <c r="C528" s="221" t="n"/>
      <c r="D528" s="218" t="inlineStr">
        <is>
          <t>神盾(6462)</t>
        </is>
      </c>
      <c r="E528" s="219" t="n">
        <v>138</v>
      </c>
      <c r="F528" s="219" t="n">
        <v>0</v>
      </c>
      <c r="G528" s="219" t="n">
        <v>1493</v>
      </c>
      <c r="H528" s="219" t="n">
        <v>0</v>
      </c>
      <c r="I528" s="219" t="n">
        <v>1493</v>
      </c>
      <c r="J528" s="220" t="n">
        <v>108.2</v>
      </c>
      <c r="K528" s="220" t="n">
        <v>0</v>
      </c>
      <c r="L528" s="253">
        <f>F528*(K528-J528)</f>
        <v/>
      </c>
    </row>
    <row r="529" ht="16.5" customHeight="1">
      <c r="A529" s="222" t="n"/>
      <c r="B529" s="215" t="inlineStr">
        <is>
          <t>分點</t>
        </is>
      </c>
      <c r="C529" s="215" t="inlineStr">
        <is>
          <t>代號</t>
        </is>
      </c>
      <c r="D529" s="215" t="inlineStr">
        <is>
          <t>標的</t>
        </is>
      </c>
      <c r="E529" s="215" t="inlineStr">
        <is>
          <t>買進(張)</t>
        </is>
      </c>
      <c r="F529" s="215" t="inlineStr">
        <is>
          <t>賣出(張)</t>
        </is>
      </c>
      <c r="G529" s="215" t="inlineStr">
        <is>
          <t>買進(萬元)</t>
        </is>
      </c>
      <c r="H529" s="215" t="inlineStr">
        <is>
          <t>賣出(萬元)</t>
        </is>
      </c>
      <c r="I529" s="215" t="inlineStr">
        <is>
          <t>淨買差(萬元)</t>
        </is>
      </c>
      <c r="J529" s="215" t="inlineStr">
        <is>
          <t>買均</t>
        </is>
      </c>
      <c r="K529" s="215" t="inlineStr">
        <is>
          <t>賣均</t>
        </is>
      </c>
      <c r="L529" s="215" t="inlineStr">
        <is>
          <t>損益(萬)</t>
        </is>
      </c>
    </row>
    <row r="530" ht="16.5" customHeight="1">
      <c r="A530" s="221" t="n"/>
      <c r="B530" s="217" t="inlineStr">
        <is>
          <t>華南永昌-台南</t>
        </is>
      </c>
      <c r="C530" s="217" t="inlineStr">
        <is>
          <t>9306</t>
        </is>
      </c>
      <c r="D530" s="218" t="inlineStr">
        <is>
          <t>中華化(1727)</t>
        </is>
      </c>
      <c r="E530" s="219" t="n">
        <v>612</v>
      </c>
      <c r="F530" s="219" t="n">
        <v>62</v>
      </c>
      <c r="G530" s="219" t="n">
        <v>6588</v>
      </c>
      <c r="H530" s="219" t="n">
        <v>678</v>
      </c>
      <c r="I530" s="219" t="n">
        <v>5910</v>
      </c>
      <c r="J530" s="220" t="n">
        <v>107.64</v>
      </c>
      <c r="K530" s="220" t="n">
        <v>109.34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27</v>
      </c>
      <c r="F531" s="219" t="n">
        <v>5</v>
      </c>
      <c r="G531" s="219" t="n">
        <v>2974</v>
      </c>
      <c r="H531" s="219" t="n">
        <v>564</v>
      </c>
      <c r="I531" s="219" t="n">
        <v>2410</v>
      </c>
      <c r="J531" s="220" t="n">
        <v>1101.52</v>
      </c>
      <c r="K531" s="220" t="n">
        <v>1128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群創(3481)</t>
        </is>
      </c>
      <c r="E532" s="219" t="n">
        <v>536</v>
      </c>
      <c r="F532" s="219" t="n">
        <v>211</v>
      </c>
      <c r="G532" s="219" t="n">
        <v>2835</v>
      </c>
      <c r="H532" s="219" t="n">
        <v>1111</v>
      </c>
      <c r="I532" s="219" t="n">
        <v>1724</v>
      </c>
      <c r="J532" s="220" t="n">
        <v>52.89</v>
      </c>
      <c r="K532" s="220" t="n">
        <v>52.67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708</v>
      </c>
      <c r="F533" s="219" t="n">
        <v>268</v>
      </c>
      <c r="G533" s="219" t="n">
        <v>2766</v>
      </c>
      <c r="H533" s="219" t="n">
        <v>1044</v>
      </c>
      <c r="I533" s="219" t="n">
        <v>1722</v>
      </c>
      <c r="J533" s="220" t="n">
        <v>39.07</v>
      </c>
      <c r="K533" s="220" t="n">
        <v>38.97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南亞(1303)</t>
        </is>
      </c>
      <c r="E534" s="219" t="n">
        <v>64</v>
      </c>
      <c r="F534" s="219" t="n">
        <v>25</v>
      </c>
      <c r="G534" s="219" t="n">
        <v>1621</v>
      </c>
      <c r="H534" s="219" t="n">
        <v>639</v>
      </c>
      <c r="I534" s="219" t="n">
        <v>982</v>
      </c>
      <c r="J534" s="220" t="n">
        <v>253.22</v>
      </c>
      <c r="K534" s="220" t="n">
        <v>255.76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鈦昇(8027)</t>
        </is>
      </c>
      <c r="E535" s="219" t="n">
        <v>64</v>
      </c>
      <c r="F535" s="219" t="n">
        <v>31</v>
      </c>
      <c r="G535" s="219" t="n">
        <v>1356</v>
      </c>
      <c r="H535" s="219" t="n">
        <v>639</v>
      </c>
      <c r="I535" s="219" t="n">
        <v>717</v>
      </c>
      <c r="J535" s="220" t="n">
        <v>211.81</v>
      </c>
      <c r="K535" s="220" t="n">
        <v>206.26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信昌電(6173)</t>
        </is>
      </c>
      <c r="E536" s="219" t="n">
        <v>41</v>
      </c>
      <c r="F536" s="219" t="n">
        <v>9</v>
      </c>
      <c r="G536" s="219" t="n">
        <v>1252</v>
      </c>
      <c r="H536" s="219" t="n">
        <v>279</v>
      </c>
      <c r="I536" s="219" t="n">
        <v>973</v>
      </c>
      <c r="J536" s="220" t="n">
        <v>305.34</v>
      </c>
      <c r="K536" s="220" t="n">
        <v>309.56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合晶(6182)</t>
        </is>
      </c>
      <c r="E537" s="219" t="n">
        <v>93</v>
      </c>
      <c r="F537" s="219" t="n">
        <v>68</v>
      </c>
      <c r="G537" s="219" t="n">
        <v>1221</v>
      </c>
      <c r="H537" s="219" t="n">
        <v>893</v>
      </c>
      <c r="I537" s="219" t="n">
        <v>328</v>
      </c>
      <c r="J537" s="220" t="n">
        <v>131.27</v>
      </c>
      <c r="K537" s="220" t="n">
        <v>131.28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沛亨(6291)</t>
        </is>
      </c>
      <c r="E538" s="219" t="n">
        <v>16</v>
      </c>
      <c r="F538" s="219" t="n">
        <v>4</v>
      </c>
      <c r="G538" s="219" t="n">
        <v>792</v>
      </c>
      <c r="H538" s="219" t="n">
        <v>199</v>
      </c>
      <c r="I538" s="219" t="n">
        <v>593</v>
      </c>
      <c r="J538" s="220" t="n">
        <v>495.19</v>
      </c>
      <c r="K538" s="220" t="n">
        <v>498.25</v>
      </c>
      <c r="L538" s="253">
        <f>F538*(K538-J538)</f>
        <v/>
      </c>
    </row>
    <row r="539" ht="16.5" customHeight="1">
      <c r="A539" s="221" t="n"/>
      <c r="B539" s="221" t="n"/>
      <c r="C539" s="221" t="n"/>
      <c r="D539" s="218" t="inlineStr">
        <is>
          <t>大立光(3008)</t>
        </is>
      </c>
      <c r="E539" s="219" t="n">
        <v>1</v>
      </c>
      <c r="F539" s="219" t="n">
        <v>1</v>
      </c>
      <c r="G539" s="219" t="n">
        <v>746</v>
      </c>
      <c r="H539" s="219" t="n">
        <v>13</v>
      </c>
      <c r="I539" s="219" t="n">
        <v>733</v>
      </c>
      <c r="J539" s="220" t="n">
        <v>7459</v>
      </c>
      <c r="K539" s="220" t="n">
        <v>129</v>
      </c>
      <c r="L539" s="254">
        <f>F539*(K539-J539)</f>
        <v/>
      </c>
    </row>
    <row r="540" ht="16.5" customHeight="1">
      <c r="A540" s="223" t="inlineStr">
        <is>
          <t>ⓘ top-buyer 資料 fetched @ 2026-10-01 21:58 TW | 11/12 success | 來源: 富邦11/histock0</t>
        </is>
      </c>
    </row>
  </sheetData>
  <mergeCells count="112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486:B495"/>
    <mergeCell ref="C519:C528"/>
    <mergeCell ref="B256:B265"/>
    <mergeCell ref="C179:C188"/>
    <mergeCell ref="C58:C67"/>
    <mergeCell ref="B135:B144"/>
    <mergeCell ref="C157:C166"/>
    <mergeCell ref="B190:B199"/>
    <mergeCell ref="A486:A539"/>
    <mergeCell ref="C113:C122"/>
    <mergeCell ref="B475:B484"/>
    <mergeCell ref="C333:C342"/>
    <mergeCell ref="B443:B462"/>
    <mergeCell ref="C25:C34"/>
    <mergeCell ref="C256:C265"/>
    <mergeCell ref="B234:B243"/>
    <mergeCell ref="B519:B528"/>
    <mergeCell ref="C530:C539"/>
    <mergeCell ref="B267:B276"/>
    <mergeCell ref="B245:B254"/>
    <mergeCell ref="B146:B155"/>
    <mergeCell ref="B124:B133"/>
    <mergeCell ref="B388:B397"/>
    <mergeCell ref="C508:C517"/>
    <mergeCell ref="B201:B210"/>
    <mergeCell ref="C366:C375"/>
    <mergeCell ref="A245:A276"/>
    <mergeCell ref="C421:C430"/>
    <mergeCell ref="B47:B56"/>
    <mergeCell ref="C377:C386"/>
    <mergeCell ref="C322:C331"/>
    <mergeCell ref="B508:B517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530:B539"/>
    <mergeCell ref="B14:B23"/>
    <mergeCell ref="C388:C397"/>
    <mergeCell ref="C223:C232"/>
    <mergeCell ref="A540:L540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C497:C506"/>
    <mergeCell ref="B212:B221"/>
    <mergeCell ref="B399:B408"/>
    <mergeCell ref="A443:A462"/>
    <mergeCell ref="C443:C462"/>
    <mergeCell ref="B91:B100"/>
    <mergeCell ref="B25:B34"/>
    <mergeCell ref="C486:C495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B497:B506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2026-10-01T13:58:38Z</dcterms:modified>
</cp:coreProperties>
</file>