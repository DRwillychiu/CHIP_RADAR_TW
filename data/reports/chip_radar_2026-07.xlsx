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📱 手機摘要" sheetId="2" state="visible" r:id="rId2"/>
    <sheet name="📈 Quad 實戰追蹤" sheetId="3" state="visible" r:id="rId3"/>
    <sheet name="📉 Quad 失效歸因" sheetId="4" state="visible" r:id="rId4"/>
    <sheet name="📌 Pinned Master 追蹤" sheetId="5" state="visible" r:id="rId5"/>
    <sheet name="20260701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3">
    <numFmt numFmtId="164" formatCode="0%&quot; (13/13 ・昨100/5d100)&quot;"/>
    <numFmt numFmtId="165" formatCode="+0&quot; 億 (昨+26/5d-190)&quot;;-0&quot; 億 (昨+26/5d-190)&quot;;0&quot; 億&quot;"/>
    <numFmt numFmtId="166" formatCode="0&quot; 檔 +70億 &quot;&quot;(昨12/5d12)&quot;"/>
    <numFmt numFmtId="167" formatCode="0.0%&quot; 市-722億 &quot;&quot;(昨20/5d18)&quot;"/>
    <numFmt numFmtId="168" formatCode="&quot;📅 明日預測 ↕ 中性 &quot;0.0&quot;% 信心 — P/C Ratio 主推 — 3 檔焦點&quot;"/>
    <numFmt numFmtId="169" formatCode="0.00%;[Color10]-0.00%"/>
    <numFmt numFmtId="170" formatCode="0.0%"/>
    <numFmt numFmtId="171" formatCode="#,##0.0"/>
    <numFmt numFmtId="172" formatCode="0.00&quot;%&quot;"/>
    <numFmt numFmtId="173" formatCode="+0.00&quot;%&quot;;-0.00&quot;%&quot;;0&quot;%&quot;"/>
    <numFmt numFmtId="174" formatCode="0.0&quot;%&quot;"/>
    <numFmt numFmtId="175" formatCode="0&quot;%&quot;"/>
    <numFmt numFmtId="176" formatCode="#,##0.00;-#,##0.00"/>
  </numFmts>
  <fonts count="45">
    <font>
      <name val="Calibri"/>
      <family val="2"/>
      <color theme="1"/>
      <sz val="11"/>
      <scheme val="minor"/>
    </font>
    <font>
      <name val="新細明體"/>
      <b val="1"/>
      <sz val="12"/>
    </font>
    <font>
      <name val="新細明體"/>
      <sz val="12"/>
    </font>
    <font>
      <name val="新細明體"/>
      <b val="1"/>
      <color rgb="FF2E7D32"/>
      <sz val="12"/>
    </font>
    <font>
      <name val="新細明體"/>
      <b val="1"/>
      <color rgb="FFC62828"/>
      <sz val="12"/>
    </font>
    <font>
      <name val="新細明體"/>
      <i val="1"/>
      <color rgb="FF808080"/>
      <sz val="12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059669"/>
      <sz val="10"/>
    </font>
    <font>
      <name val="Noto Sans TC"/>
      <i val="1"/>
      <color rgb="FF7C3AED"/>
      <sz val="10"/>
    </font>
    <font>
      <name val="Noto Sans TC"/>
      <b val="1"/>
      <color rgb="FF666666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b val="1"/>
      <color rgb="FF7C2D12"/>
      <sz val="11"/>
    </font>
    <font>
      <name val="Noto Sans TC"/>
      <i val="1"/>
      <color rgb="FF888888"/>
      <sz val="10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059669"/>
      <sz val="12"/>
    </font>
    <font>
      <name val="Noto Sans TC"/>
      <b val="1"/>
      <color rgb="FFC62828"/>
      <sz val="11"/>
    </font>
    <font>
      <name val="Noto Sans TC"/>
      <b val="1"/>
      <color rgb="FF2E7D32"/>
      <sz val="11"/>
    </font>
    <font>
      <name val="Noto Sans TC"/>
      <i val="1"/>
      <color rgb="FF6B7280"/>
      <sz val="10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374151"/>
      <sz val="16"/>
    </font>
    <font>
      <name val="Noto Sans TC"/>
      <sz val="12"/>
    </font>
    <font>
      <name val="Noto Sans TC"/>
      <b val="1"/>
      <color rgb="FF059669"/>
      <sz val="14"/>
    </font>
    <font>
      <name val="Noto Sans TC"/>
      <b val="1"/>
      <color rgb="FF059669"/>
      <sz val="10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666666"/>
      <sz val="11"/>
    </font>
    <font>
      <name val="Noto Sans TC"/>
      <b val="1"/>
      <color rgb="FF059669"/>
      <sz val="11"/>
    </font>
    <font>
      <name val="Noto Sans TC"/>
      <b val="1"/>
      <color rgb="FF1F2A48"/>
      <sz val="12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C62828"/>
      <sz val="10"/>
    </font>
    <font>
      <name val="Noto Sans TC"/>
      <color rgb="FF059669"/>
      <sz val="11"/>
    </font>
    <font>
      <name val="Noto Sans TC"/>
      <color rgb="FFDC2626"/>
      <sz val="11"/>
    </font>
    <font>
      <name val="Noto Sans TC"/>
      <b val="1"/>
      <color rgb="FFB45309"/>
      <sz val="14"/>
    </font>
    <font>
      <name val="Noto Sans TC"/>
      <color rgb="FFB45309"/>
      <sz val="10"/>
    </font>
  </fonts>
  <fills count="47">
    <fill>
      <patternFill/>
    </fill>
    <fill>
      <patternFill patternType="gray125"/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E5E7EB"/>
        <bgColor rgb="FFE5E7EB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22">
    <xf numFmtId="0" fontId="0" fillId="0" borderId="0" pivotButton="0" quotePrefix="0" xfId="0"/>
    <xf numFmtId="0" fontId="6" fillId="28" borderId="0" applyAlignment="1" pivotButton="0" quotePrefix="0" xfId="0">
      <alignment horizontal="center" vertical="center"/>
    </xf>
    <xf numFmtId="0" fontId="7" fillId="29" borderId="0" applyAlignment="1" pivotButton="0" quotePrefix="0" xfId="0">
      <alignment horizontal="center" vertical="center"/>
    </xf>
    <xf numFmtId="0" fontId="8" fillId="30" borderId="0" applyAlignment="1" pivotButton="0" quotePrefix="0" xfId="0">
      <alignment horizontal="center" vertical="center"/>
    </xf>
    <xf numFmtId="0" fontId="9" fillId="31" borderId="0" applyAlignment="1" pivotButton="0" quotePrefix="0" xfId="0">
      <alignment horizontal="left" vertical="center" indent="1"/>
    </xf>
    <xf numFmtId="0" fontId="10" fillId="32" borderId="0" applyAlignment="1" pivotButton="0" quotePrefix="0" xfId="0">
      <alignment horizontal="left" vertical="center" indent="1"/>
    </xf>
    <xf numFmtId="0" fontId="11" fillId="32" borderId="0" applyAlignment="1" pivotButton="0" quotePrefix="0" xfId="0">
      <alignment horizontal="left" vertical="center" indent="1"/>
    </xf>
    <xf numFmtId="0" fontId="12" fillId="32" borderId="0" applyAlignment="1" pivotButton="0" quotePrefix="0" xfId="0">
      <alignment horizontal="left" vertical="center" indent="1"/>
    </xf>
    <xf numFmtId="0" fontId="13" fillId="30" borderId="0" applyAlignment="1" pivotButton="0" quotePrefix="0" xfId="0">
      <alignment horizontal="left" vertical="center" indent="1"/>
    </xf>
    <xf numFmtId="0" fontId="14" fillId="33" borderId="0" applyAlignment="1" pivotButton="0" quotePrefix="0" xfId="0">
      <alignment horizontal="left" vertical="center" indent="1"/>
    </xf>
    <xf numFmtId="0" fontId="15" fillId="29" borderId="0" applyAlignment="1" pivotButton="0" quotePrefix="0" xfId="0">
      <alignment horizontal="left" vertical="center" indent="1"/>
    </xf>
    <xf numFmtId="0" fontId="16" fillId="34" borderId="0" applyAlignment="1" pivotButton="0" quotePrefix="0" xfId="0">
      <alignment horizontal="left" vertical="center" indent="1"/>
    </xf>
    <xf numFmtId="0" fontId="17" fillId="35" borderId="0" applyAlignment="1" pivotButton="0" quotePrefix="0" xfId="0">
      <alignment horizontal="center"/>
    </xf>
    <xf numFmtId="0" fontId="18" fillId="29" borderId="0" pivotButton="0" quotePrefix="0" xfId="0"/>
    <xf numFmtId="0" fontId="19" fillId="36" borderId="0" pivotButton="0" quotePrefix="0" xfId="0"/>
    <xf numFmtId="0" fontId="18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8" fillId="0" borderId="0" pivotButton="0" quotePrefix="0" xfId="0"/>
    <xf numFmtId="3" fontId="18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center"/>
    </xf>
    <xf numFmtId="0" fontId="9" fillId="37" borderId="0" applyAlignment="1" pivotButton="0" quotePrefix="0" xfId="0">
      <alignment horizontal="left" vertical="center" indent="1"/>
    </xf>
    <xf numFmtId="0" fontId="21" fillId="0" borderId="0" applyAlignment="1" pivotButton="0" quotePrefix="0" xfId="0">
      <alignment horizontal="right" vertical="center"/>
    </xf>
    <xf numFmtId="164" fontId="22" fillId="0" borderId="0" applyAlignment="1" pivotButton="0" quotePrefix="0" xfId="0">
      <alignment horizontal="left" vertical="center" wrapText="1"/>
    </xf>
    <xf numFmtId="165" fontId="23" fillId="0" borderId="0" applyAlignment="1" pivotButton="0" quotePrefix="0" xfId="0">
      <alignment horizontal="left" vertical="center" wrapText="1"/>
    </xf>
    <xf numFmtId="166" fontId="22" fillId="0" borderId="0" applyAlignment="1" pivotButton="0" quotePrefix="0" xfId="0">
      <alignment horizontal="left" vertical="center" wrapText="1"/>
    </xf>
    <xf numFmtId="167" fontId="23" fillId="0" borderId="0" applyAlignment="1" pivotButton="0" quotePrefix="0" xfId="0">
      <alignment horizontal="left" vertical="center" wrapText="1"/>
    </xf>
    <xf numFmtId="168" fontId="7" fillId="38" borderId="0" applyAlignment="1" pivotButton="0" quotePrefix="0" xfId="0">
      <alignment horizontal="center" vertical="center"/>
    </xf>
    <xf numFmtId="0" fontId="11" fillId="39" borderId="0" applyAlignment="1" pivotButton="0" quotePrefix="0" xfId="0">
      <alignment horizontal="center" vertical="center"/>
    </xf>
    <xf numFmtId="0" fontId="18" fillId="2" borderId="0" applyAlignment="1" pivotButton="0" quotePrefix="0" xfId="0">
      <alignment horizontal="left" vertical="center" indent="1"/>
    </xf>
    <xf numFmtId="0" fontId="18" fillId="6" borderId="0" applyAlignment="1" pivotButton="0" quotePrefix="0" xfId="0">
      <alignment horizontal="left" vertical="center" indent="1"/>
    </xf>
    <xf numFmtId="0" fontId="17" fillId="40" borderId="0" pivotButton="0" quotePrefix="0" xfId="0"/>
    <xf numFmtId="0" fontId="18" fillId="8" borderId="0" pivotButton="0" quotePrefix="0" xfId="0"/>
    <xf numFmtId="3" fontId="0" fillId="0" borderId="0" pivotButton="0" quotePrefix="0" xfId="0"/>
    <xf numFmtId="169" fontId="24" fillId="0" borderId="0" pivotButton="0" quotePrefix="0" xfId="0"/>
    <xf numFmtId="0" fontId="18" fillId="6" borderId="0" pivotButton="0" quotePrefix="0" xfId="0"/>
    <xf numFmtId="0" fontId="18" fillId="4" borderId="0" pivotButton="0" quotePrefix="0" xfId="0"/>
    <xf numFmtId="0" fontId="18" fillId="16" borderId="0" pivotButton="0" quotePrefix="0" xfId="0"/>
    <xf numFmtId="0" fontId="18" fillId="22" borderId="0" pivotButton="0" quotePrefix="0" xfId="0"/>
    <xf numFmtId="169" fontId="25" fillId="0" borderId="0" pivotButton="0" quotePrefix="0" xfId="0"/>
    <xf numFmtId="0" fontId="9" fillId="41" borderId="0" applyAlignment="1" pivotButton="0" quotePrefix="0" xfId="0">
      <alignment horizontal="left" vertical="center" indent="1"/>
    </xf>
    <xf numFmtId="0" fontId="0" fillId="32" borderId="0" pivotButton="0" quotePrefix="0" xfId="0"/>
    <xf numFmtId="0" fontId="26" fillId="30" borderId="0" applyAlignment="1" pivotButton="0" quotePrefix="0" xfId="0">
      <alignment horizontal="left" indent="1"/>
    </xf>
    <xf numFmtId="0" fontId="26" fillId="30" borderId="0" pivotButton="0" quotePrefix="0" xfId="0"/>
    <xf numFmtId="0" fontId="9" fillId="42" borderId="0" applyAlignment="1" pivotButton="0" quotePrefix="0" xfId="0">
      <alignment horizontal="left" vertical="center" indent="1"/>
    </xf>
    <xf numFmtId="0" fontId="17" fillId="2" borderId="0" applyAlignment="1" pivotButton="0" quotePrefix="0" xfId="0">
      <alignment horizontal="center"/>
    </xf>
    <xf numFmtId="0" fontId="24" fillId="0" borderId="0" pivotButton="0" quotePrefix="0" xfId="0"/>
    <xf numFmtId="0" fontId="24" fillId="32" borderId="0" pivotButton="0" quotePrefix="0" xfId="0"/>
    <xf numFmtId="0" fontId="9" fillId="43" borderId="0" applyAlignment="1" pivotButton="0" quotePrefix="0" xfId="0">
      <alignment horizontal="left" vertical="center" indent="1"/>
    </xf>
    <xf numFmtId="0" fontId="17" fillId="44" borderId="0" applyAlignment="1" pivotButton="0" quotePrefix="0" xfId="0">
      <alignment horizontal="center"/>
    </xf>
    <xf numFmtId="170" fontId="0" fillId="0" borderId="0" pivotButton="0" quotePrefix="0" xfId="0"/>
    <xf numFmtId="0" fontId="18" fillId="10" borderId="0" pivotButton="0" quotePrefix="0" xfId="0"/>
    <xf numFmtId="0" fontId="18" fillId="20" borderId="0" pivotButton="0" quotePrefix="0" xfId="0"/>
    <xf numFmtId="0" fontId="18" fillId="2" borderId="0" pivotButton="0" quotePrefix="0" xfId="0"/>
    <xf numFmtId="0" fontId="18" fillId="26" borderId="0" pivotButton="0" quotePrefix="0" xfId="0"/>
    <xf numFmtId="0" fontId="18" fillId="14" borderId="0" pivotButton="0" quotePrefix="0" xfId="0"/>
    <xf numFmtId="0" fontId="18" fillId="24" borderId="0" pivotButton="0" quotePrefix="0" xfId="0"/>
    <xf numFmtId="0" fontId="18" fillId="18" borderId="0" pivotButton="0" quotePrefix="0" xfId="0"/>
    <xf numFmtId="0" fontId="18" fillId="12" borderId="0" pivotButton="0" quotePrefix="0" xfId="0"/>
    <xf numFmtId="0" fontId="9" fillId="45" borderId="0" applyAlignment="1" pivotButton="0" quotePrefix="0" xfId="0">
      <alignment horizontal="left" vertical="center" indent="1"/>
    </xf>
    <xf numFmtId="0" fontId="17" fillId="29" borderId="0" applyAlignment="1" pivotButton="0" quotePrefix="0" xfId="0">
      <alignment horizontal="center"/>
    </xf>
    <xf numFmtId="171" fontId="24" fillId="0" borderId="0" pivotButton="0" quotePrefix="0" xfId="0"/>
    <xf numFmtId="3" fontId="0" fillId="32" borderId="0" pivotButton="0" quotePrefix="0" xfId="0"/>
    <xf numFmtId="171" fontId="0" fillId="0" borderId="0" pivotButton="0" quotePrefix="0" xfId="0"/>
    <xf numFmtId="171" fontId="24" fillId="32" borderId="0" pivotButton="0" quotePrefix="0" xfId="0"/>
    <xf numFmtId="0" fontId="9" fillId="46" borderId="0" applyAlignment="1" pivotButton="0" quotePrefix="0" xfId="0">
      <alignment horizontal="left" vertical="center" indent="1"/>
    </xf>
    <xf numFmtId="0" fontId="27" fillId="0" borderId="0" applyAlignment="1" pivotButton="0" quotePrefix="0" xfId="0">
      <alignment horizontal="left" vertical="center"/>
    </xf>
    <xf numFmtId="0" fontId="28" fillId="0" borderId="0" pivotButton="0" quotePrefix="0" xfId="0"/>
    <xf numFmtId="0" fontId="29" fillId="0" borderId="0" pivotButton="0" quotePrefix="0" xfId="0"/>
    <xf numFmtId="0" fontId="30" fillId="0" borderId="0" pivotButton="0" quotePrefix="0" xfId="0"/>
    <xf numFmtId="0" fontId="31" fillId="0" borderId="0" pivotButton="0" quotePrefix="0" xfId="0"/>
    <xf numFmtId="0" fontId="10" fillId="0" borderId="0" pivotButton="0" quotePrefix="0" xfId="0"/>
    <xf numFmtId="0" fontId="27" fillId="0" borderId="0" pivotButton="0" quotePrefix="0" xfId="0"/>
    <xf numFmtId="0" fontId="32" fillId="0" borderId="0" applyAlignment="1" pivotButton="0" quotePrefix="0" xfId="0">
      <alignment horizontal="left" vertical="center" indent="1"/>
    </xf>
    <xf numFmtId="0" fontId="18" fillId="29" borderId="0" applyAlignment="1" pivotButton="0" quotePrefix="0" xfId="0">
      <alignment horizontal="center"/>
    </xf>
    <xf numFmtId="0" fontId="33" fillId="0" borderId="0" pivotButton="0" quotePrefix="0" xfId="0"/>
    <xf numFmtId="0" fontId="34" fillId="0" borderId="0" applyAlignment="1" pivotButton="0" quotePrefix="0" xfId="0">
      <alignment horizontal="center"/>
    </xf>
    <xf numFmtId="0" fontId="35" fillId="0" borderId="0" pivotButton="0" quotePrefix="0" xfId="0"/>
    <xf numFmtId="172" fontId="35" fillId="0" borderId="0" applyAlignment="1" pivotButton="0" quotePrefix="0" xfId="0">
      <alignment horizontal="center"/>
    </xf>
    <xf numFmtId="173" fontId="34" fillId="0" borderId="0" applyAlignment="1" pivotButton="0" quotePrefix="0" xfId="0">
      <alignment horizontal="right"/>
    </xf>
    <xf numFmtId="0" fontId="36" fillId="0" borderId="0" pivotButton="0" quotePrefix="0" xfId="0"/>
    <xf numFmtId="172" fontId="36" fillId="0" borderId="0" applyAlignment="1" pivotButton="0" quotePrefix="0" xfId="0">
      <alignment horizontal="center"/>
    </xf>
    <xf numFmtId="0" fontId="37" fillId="0" borderId="0" pivotButton="0" quotePrefix="0" xfId="0"/>
    <xf numFmtId="0" fontId="33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174" fontId="35" fillId="0" borderId="0" applyAlignment="1" pivotButton="0" quotePrefix="0" xfId="0">
      <alignment horizontal="center"/>
    </xf>
    <xf numFmtId="0" fontId="10" fillId="0" borderId="0" applyAlignment="1" pivotButton="0" quotePrefix="0" xfId="0">
      <alignment horizontal="left" vertical="top" wrapText="1"/>
    </xf>
    <xf numFmtId="0" fontId="38" fillId="0" borderId="0" applyAlignment="1" pivotButton="0" quotePrefix="0" xfId="0">
      <alignment horizontal="left" vertical="center" indent="1"/>
    </xf>
    <xf numFmtId="0" fontId="39" fillId="0" borderId="0" applyAlignment="1" pivotButton="0" quotePrefix="0" xfId="0">
      <alignment horizontal="left" vertical="center" indent="1"/>
    </xf>
    <xf numFmtId="0" fontId="18" fillId="35" borderId="0" applyAlignment="1" pivotButton="0" quotePrefix="0" xfId="0">
      <alignment horizontal="center"/>
    </xf>
    <xf numFmtId="173" fontId="36" fillId="0" borderId="0" applyAlignment="1" pivotButton="0" quotePrefix="0" xfId="0">
      <alignment horizontal="right"/>
    </xf>
    <xf numFmtId="175" fontId="33" fillId="0" borderId="0" applyAlignment="1" pivotButton="0" quotePrefix="0" xfId="0">
      <alignment horizontal="center"/>
    </xf>
    <xf numFmtId="174" fontId="33" fillId="0" borderId="0" applyAlignment="1" pivotButton="0" quotePrefix="0" xfId="0">
      <alignment horizontal="center"/>
    </xf>
    <xf numFmtId="0" fontId="40" fillId="0" borderId="0" pivotButton="0" quotePrefix="0" xfId="0"/>
    <xf numFmtId="173" fontId="0" fillId="0" borderId="0" applyAlignment="1" pivotButton="0" quotePrefix="0" xfId="0">
      <alignment horizontal="right"/>
    </xf>
    <xf numFmtId="173" fontId="41" fillId="0" borderId="0" applyAlignment="1" pivotButton="0" quotePrefix="0" xfId="0">
      <alignment horizontal="right"/>
    </xf>
    <xf numFmtId="173" fontId="42" fillId="0" borderId="0" applyAlignment="1" pivotButton="0" quotePrefix="0" xfId="0">
      <alignment horizontal="right"/>
    </xf>
    <xf numFmtId="0" fontId="43" fillId="0" borderId="0" pivotButton="0" quotePrefix="0" xfId="0"/>
    <xf numFmtId="0" fontId="21" fillId="0" borderId="0" applyAlignment="1" pivotButton="0" quotePrefix="0" xfId="0">
      <alignment vertical="top" wrapText="1"/>
    </xf>
    <xf numFmtId="0" fontId="44" fillId="0" borderId="0" pivotButton="0" quotePrefix="0" xfId="0"/>
    <xf numFmtId="0" fontId="17" fillId="0" borderId="0" pivotButton="0" quotePrefix="0" xfId="0"/>
    <xf numFmtId="169" fontId="0" fillId="0" borderId="0" pivotButton="0" quotePrefix="0" xfId="0"/>
    <xf numFmtId="0" fontId="21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76" fontId="3" fillId="0" borderId="0" applyAlignment="1" pivotButton="0" quotePrefix="0" xfId="0">
      <alignment horizontal="center" vertical="center"/>
    </xf>
    <xf numFmtId="0" fontId="0" fillId="2" borderId="0" pivotButton="0" quotePrefix="0" xfId="0"/>
    <xf numFmtId="176" fontId="4" fillId="0" borderId="0" applyAlignment="1" pivotButton="0" quotePrefix="0" xfId="0">
      <alignment horizontal="center" vertical="center"/>
    </xf>
    <xf numFmtId="0" fontId="0" fillId="3" borderId="0" pivotButton="0" quotePrefix="0" xfId="0"/>
    <xf numFmtId="0" fontId="1" fillId="5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3" fontId="2" fillId="4" borderId="0" applyAlignment="1" pivotButton="0" quotePrefix="0" xfId="0">
      <alignment horizontal="center" vertical="center"/>
    </xf>
    <xf numFmtId="2" fontId="2" fillId="4" borderId="0" applyAlignment="1" pivotButton="0" quotePrefix="0" xfId="0">
      <alignment horizontal="center" vertical="center"/>
    </xf>
    <xf numFmtId="0" fontId="0" fillId="4" borderId="0" pivotButton="0" quotePrefix="0" xfId="0"/>
    <xf numFmtId="0" fontId="0" fillId="5" borderId="0" pivotButton="0" quotePrefix="0" xfId="0"/>
    <xf numFmtId="0" fontId="1" fillId="7" borderId="0" applyAlignment="1" pivotButton="0" quotePrefix="0" xfId="0">
      <alignment horizontal="center" vertical="center"/>
    </xf>
    <xf numFmtId="0" fontId="1" fillId="6" borderId="0" applyAlignment="1" pivotButton="0" quotePrefix="0" xfId="0">
      <alignment horizontal="center" vertical="center"/>
    </xf>
    <xf numFmtId="0" fontId="2" fillId="6" borderId="0" applyAlignment="1" pivotButton="0" quotePrefix="0" xfId="0">
      <alignment horizontal="center" vertical="center"/>
    </xf>
    <xf numFmtId="3" fontId="2" fillId="6" borderId="0" applyAlignment="1" pivotButton="0" quotePrefix="0" xfId="0">
      <alignment horizontal="center" vertical="center"/>
    </xf>
    <xf numFmtId="2" fontId="2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0" fillId="7" borderId="0" pivotButton="0" quotePrefix="0" xfId="0"/>
    <xf numFmtId="0" fontId="1" fillId="9" borderId="0" applyAlignment="1" pivotButton="0" quotePrefix="0" xfId="0">
      <alignment horizontal="center" vertical="center"/>
    </xf>
    <xf numFmtId="0" fontId="1" fillId="8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3" fontId="2" fillId="8" borderId="0" applyAlignment="1" pivotButton="0" quotePrefix="0" xfId="0">
      <alignment horizontal="center" vertical="center"/>
    </xf>
    <xf numFmtId="2" fontId="2" fillId="8" borderId="0" applyAlignment="1" pivotButton="0" quotePrefix="0" xfId="0">
      <alignment horizontal="center" vertical="center"/>
    </xf>
    <xf numFmtId="0" fontId="0" fillId="8" borderId="0" pivotButton="0" quotePrefix="0" xfId="0"/>
    <xf numFmtId="0" fontId="0" fillId="9" borderId="0" pivotButton="0" quotePrefix="0" xfId="0"/>
    <xf numFmtId="0" fontId="1" fillId="11" borderId="0" applyAlignment="1" pivotButton="0" quotePrefix="0" xfId="0">
      <alignment horizontal="center" vertical="center"/>
    </xf>
    <xf numFmtId="0" fontId="1" fillId="10" borderId="0" applyAlignment="1" pivotButton="0" quotePrefix="0" xfId="0">
      <alignment horizontal="center" vertical="center"/>
    </xf>
    <xf numFmtId="0" fontId="2" fillId="10" borderId="0" applyAlignment="1" pivotButton="0" quotePrefix="0" xfId="0">
      <alignment horizontal="center" vertical="center"/>
    </xf>
    <xf numFmtId="3" fontId="2" fillId="10" borderId="0" applyAlignment="1" pivotButton="0" quotePrefix="0" xfId="0">
      <alignment horizontal="center" vertical="center"/>
    </xf>
    <xf numFmtId="2" fontId="2" fillId="10" borderId="0" applyAlignment="1" pivotButton="0" quotePrefix="0" xfId="0">
      <alignment horizontal="center" vertical="center"/>
    </xf>
    <xf numFmtId="0" fontId="0" fillId="10" borderId="0" pivotButton="0" quotePrefix="0" xfId="0"/>
    <xf numFmtId="0" fontId="0" fillId="11" borderId="0" pivotButton="0" quotePrefix="0" xfId="0"/>
    <xf numFmtId="0" fontId="1" fillId="13" borderId="0" applyAlignment="1" pivotButton="0" quotePrefix="0" xfId="0">
      <alignment horizontal="center" vertical="center"/>
    </xf>
    <xf numFmtId="0" fontId="1" fillId="12" borderId="0" applyAlignment="1" pivotButton="0" quotePrefix="0" xfId="0">
      <alignment horizontal="center" vertical="center"/>
    </xf>
    <xf numFmtId="0" fontId="2" fillId="12" borderId="0" applyAlignment="1" pivotButton="0" quotePrefix="0" xfId="0">
      <alignment horizontal="center" vertical="center"/>
    </xf>
    <xf numFmtId="3" fontId="2" fillId="12" borderId="0" applyAlignment="1" pivotButton="0" quotePrefix="0" xfId="0">
      <alignment horizontal="center" vertical="center"/>
    </xf>
    <xf numFmtId="2" fontId="2" fillId="12" borderId="0" applyAlignment="1" pivotButton="0" quotePrefix="0" xfId="0">
      <alignment horizontal="center" vertical="center"/>
    </xf>
    <xf numFmtId="0" fontId="0" fillId="12" borderId="0" pivotButton="0" quotePrefix="0" xfId="0"/>
    <xf numFmtId="0" fontId="0" fillId="13" borderId="0" pivotButton="0" quotePrefix="0" xfId="0"/>
    <xf numFmtId="0" fontId="1" fillId="15" borderId="0" applyAlignment="1" pivotButton="0" quotePrefix="0" xfId="0">
      <alignment horizontal="center" vertical="center"/>
    </xf>
    <xf numFmtId="0" fontId="1" fillId="14" borderId="0" applyAlignment="1" pivotButton="0" quotePrefix="0" xfId="0">
      <alignment horizontal="center" vertical="center"/>
    </xf>
    <xf numFmtId="0" fontId="2" fillId="14" borderId="0" applyAlignment="1" pivotButton="0" quotePrefix="0" xfId="0">
      <alignment horizontal="center" vertical="center"/>
    </xf>
    <xf numFmtId="3" fontId="2" fillId="14" borderId="0" applyAlignment="1" pivotButton="0" quotePrefix="0" xfId="0">
      <alignment horizontal="center" vertical="center"/>
    </xf>
    <xf numFmtId="2" fontId="2" fillId="14" borderId="0" applyAlignment="1" pivotButton="0" quotePrefix="0" xfId="0">
      <alignment horizontal="center" vertical="center"/>
    </xf>
    <xf numFmtId="0" fontId="0" fillId="14" borderId="0" pivotButton="0" quotePrefix="0" xfId="0"/>
    <xf numFmtId="0" fontId="1" fillId="17" borderId="0" applyAlignment="1" pivotButton="0" quotePrefix="0" xfId="0">
      <alignment horizontal="center" vertical="center"/>
    </xf>
    <xf numFmtId="0" fontId="1" fillId="16" borderId="0" applyAlignment="1" pivotButton="0" quotePrefix="0" xfId="0">
      <alignment horizontal="center" vertical="center"/>
    </xf>
    <xf numFmtId="0" fontId="2" fillId="16" borderId="0" applyAlignment="1" pivotButton="0" quotePrefix="0" xfId="0">
      <alignment horizontal="center" vertical="center"/>
    </xf>
    <xf numFmtId="3" fontId="2" fillId="16" borderId="0" applyAlignment="1" pivotButton="0" quotePrefix="0" xfId="0">
      <alignment horizontal="center" vertical="center"/>
    </xf>
    <xf numFmtId="2" fontId="2" fillId="16" borderId="0" applyAlignment="1" pivotButton="0" quotePrefix="0" xfId="0">
      <alignment horizontal="center" vertical="center"/>
    </xf>
    <xf numFmtId="0" fontId="0" fillId="16" borderId="0" pivotButton="0" quotePrefix="0" xfId="0"/>
    <xf numFmtId="0" fontId="0" fillId="17" borderId="0" pivotButton="0" quotePrefix="0" xfId="0"/>
    <xf numFmtId="0" fontId="1" fillId="19" borderId="0" applyAlignment="1" pivotButton="0" quotePrefix="0" xfId="0">
      <alignment horizontal="center" vertical="center"/>
    </xf>
    <xf numFmtId="0" fontId="1" fillId="18" borderId="0" applyAlignment="1" pivotButton="0" quotePrefix="0" xfId="0">
      <alignment horizontal="center" vertical="center"/>
    </xf>
    <xf numFmtId="0" fontId="2" fillId="18" borderId="0" applyAlignment="1" pivotButton="0" quotePrefix="0" xfId="0">
      <alignment horizontal="center" vertical="center"/>
    </xf>
    <xf numFmtId="3" fontId="2" fillId="18" borderId="0" applyAlignment="1" pivotButton="0" quotePrefix="0" xfId="0">
      <alignment horizontal="center" vertical="center"/>
    </xf>
    <xf numFmtId="2" fontId="2" fillId="18" borderId="0" applyAlignment="1" pivotButton="0" quotePrefix="0" xfId="0">
      <alignment horizontal="center" vertical="center"/>
    </xf>
    <xf numFmtId="0" fontId="0" fillId="18" borderId="0" pivotButton="0" quotePrefix="0" xfId="0"/>
    <xf numFmtId="0" fontId="1" fillId="21" borderId="0" applyAlignment="1" pivotButton="0" quotePrefix="0" xfId="0">
      <alignment horizontal="center" vertical="center"/>
    </xf>
    <xf numFmtId="0" fontId="1" fillId="20" borderId="0" applyAlignment="1" pivotButton="0" quotePrefix="0" xfId="0">
      <alignment horizontal="center" vertical="center"/>
    </xf>
    <xf numFmtId="0" fontId="2" fillId="20" borderId="0" applyAlignment="1" pivotButton="0" quotePrefix="0" xfId="0">
      <alignment horizontal="center" vertical="center"/>
    </xf>
    <xf numFmtId="3" fontId="2" fillId="20" borderId="0" applyAlignment="1" pivotButton="0" quotePrefix="0" xfId="0">
      <alignment horizontal="center" vertical="center"/>
    </xf>
    <xf numFmtId="2" fontId="2" fillId="20" borderId="0" applyAlignment="1" pivotButton="0" quotePrefix="0" xfId="0">
      <alignment horizontal="center" vertical="center"/>
    </xf>
    <xf numFmtId="0" fontId="0" fillId="20" borderId="0" pivotButton="0" quotePrefix="0" xfId="0"/>
    <xf numFmtId="0" fontId="0" fillId="21" borderId="0" pivotButton="0" quotePrefix="0" xfId="0"/>
    <xf numFmtId="0" fontId="1" fillId="23" borderId="0" applyAlignment="1" pivotButton="0" quotePrefix="0" xfId="0">
      <alignment horizontal="center" vertical="center"/>
    </xf>
    <xf numFmtId="0" fontId="1" fillId="22" borderId="0" applyAlignment="1" pivotButton="0" quotePrefix="0" xfId="0">
      <alignment horizontal="center" vertical="center"/>
    </xf>
    <xf numFmtId="0" fontId="2" fillId="22" borderId="0" applyAlignment="1" pivotButton="0" quotePrefix="0" xfId="0">
      <alignment horizontal="center" vertical="center"/>
    </xf>
    <xf numFmtId="3" fontId="2" fillId="22" borderId="0" applyAlignment="1" pivotButton="0" quotePrefix="0" xfId="0">
      <alignment horizontal="center" vertical="center"/>
    </xf>
    <xf numFmtId="2" fontId="2" fillId="22" borderId="0" applyAlignment="1" pivotButton="0" quotePrefix="0" xfId="0">
      <alignment horizontal="center" vertical="center"/>
    </xf>
    <xf numFmtId="0" fontId="0" fillId="22" borderId="0" pivotButton="0" quotePrefix="0" xfId="0"/>
    <xf numFmtId="0" fontId="0" fillId="23" borderId="0" pivotButton="0" quotePrefix="0" xfId="0"/>
    <xf numFmtId="0" fontId="5" fillId="22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0" fontId="1" fillId="25" borderId="0" applyAlignment="1" pivotButton="0" quotePrefix="0" xfId="0">
      <alignment horizontal="center" vertical="center"/>
    </xf>
    <xf numFmtId="0" fontId="1" fillId="24" borderId="0" applyAlignment="1" pivotButton="0" quotePrefix="0" xfId="0">
      <alignment horizontal="center" vertical="center"/>
    </xf>
    <xf numFmtId="0" fontId="2" fillId="24" borderId="0" applyAlignment="1" pivotButton="0" quotePrefix="0" xfId="0">
      <alignment horizontal="center" vertical="center"/>
    </xf>
    <xf numFmtId="3" fontId="2" fillId="24" borderId="0" applyAlignment="1" pivotButton="0" quotePrefix="0" xfId="0">
      <alignment horizontal="center" vertical="center"/>
    </xf>
    <xf numFmtId="2" fontId="2" fillId="24" borderId="0" applyAlignment="1" pivotButton="0" quotePrefix="0" xfId="0">
      <alignment horizontal="center" vertical="center"/>
    </xf>
    <xf numFmtId="0" fontId="0" fillId="24" borderId="0" pivotButton="0" quotePrefix="0" xfId="0"/>
    <xf numFmtId="0" fontId="1" fillId="27" borderId="0" applyAlignment="1" pivotButton="0" quotePrefix="0" xfId="0">
      <alignment horizontal="center" vertical="center"/>
    </xf>
    <xf numFmtId="0" fontId="1" fillId="26" borderId="0" applyAlignment="1" pivotButton="0" quotePrefix="0" xfId="0">
      <alignment horizontal="center" vertical="center"/>
    </xf>
    <xf numFmtId="0" fontId="2" fillId="26" borderId="0" applyAlignment="1" pivotButton="0" quotePrefix="0" xfId="0">
      <alignment horizontal="center" vertical="center"/>
    </xf>
    <xf numFmtId="3" fontId="2" fillId="26" borderId="0" applyAlignment="1" pivotButton="0" quotePrefix="0" xfId="0">
      <alignment horizontal="center" vertical="center"/>
    </xf>
    <xf numFmtId="2" fontId="2" fillId="26" borderId="0" applyAlignment="1" pivotButton="0" quotePrefix="0" xfId="0">
      <alignment horizontal="center" vertical="center"/>
    </xf>
    <xf numFmtId="0" fontId="0" fillId="26" borderId="0" pivotButton="0" quotePrefix="0" xfId="0"/>
    <xf numFmtId="0" fontId="0" fillId="27" borderId="0" pivotButton="0" quotePrefix="0" xfId="0"/>
    <xf numFmtId="164" fontId="22" fillId="0" borderId="0" applyAlignment="1" pivotButton="0" quotePrefix="0" xfId="0">
      <alignment horizontal="left" vertical="center" wrapText="1"/>
    </xf>
    <xf numFmtId="165" fontId="23" fillId="0" borderId="0" applyAlignment="1" pivotButton="0" quotePrefix="0" xfId="0">
      <alignment horizontal="left" vertical="center" wrapText="1"/>
    </xf>
    <xf numFmtId="166" fontId="22" fillId="0" borderId="0" applyAlignment="1" pivotButton="0" quotePrefix="0" xfId="0">
      <alignment horizontal="left" vertical="center" wrapText="1"/>
    </xf>
    <xf numFmtId="167" fontId="23" fillId="0" borderId="0" applyAlignment="1" pivotButton="0" quotePrefix="0" xfId="0">
      <alignment horizontal="left" vertical="center" wrapText="1"/>
    </xf>
    <xf numFmtId="168" fontId="7" fillId="38" borderId="0" applyAlignment="1" pivotButton="0" quotePrefix="0" xfId="0">
      <alignment horizontal="center" vertical="center"/>
    </xf>
    <xf numFmtId="169" fontId="24" fillId="0" borderId="0" pivotButton="0" quotePrefix="0" xfId="0"/>
    <xf numFmtId="169" fontId="25" fillId="0" borderId="0" pivotButton="0" quotePrefix="0" xfId="0"/>
    <xf numFmtId="170" fontId="0" fillId="0" borderId="0" pivotButton="0" quotePrefix="0" xfId="0"/>
    <xf numFmtId="171" fontId="24" fillId="0" borderId="0" pivotButton="0" quotePrefix="0" xfId="0"/>
    <xf numFmtId="171" fontId="24" fillId="32" borderId="0" pivotButton="0" quotePrefix="0" xfId="0"/>
    <xf numFmtId="171" fontId="0" fillId="32" borderId="0" pivotButton="0" quotePrefix="0" xfId="0"/>
    <xf numFmtId="171" fontId="0" fillId="0" borderId="0" pivotButton="0" quotePrefix="0" xfId="0"/>
    <xf numFmtId="172" fontId="35" fillId="0" borderId="0" applyAlignment="1" pivotButton="0" quotePrefix="0" xfId="0">
      <alignment horizontal="center"/>
    </xf>
    <xf numFmtId="173" fontId="34" fillId="0" borderId="0" applyAlignment="1" pivotButton="0" quotePrefix="0" xfId="0">
      <alignment horizontal="right"/>
    </xf>
    <xf numFmtId="172" fontId="36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174" fontId="35" fillId="0" borderId="0" applyAlignment="1" pivotButton="0" quotePrefix="0" xfId="0">
      <alignment horizontal="center"/>
    </xf>
    <xf numFmtId="173" fontId="36" fillId="0" borderId="0" applyAlignment="1" pivotButton="0" quotePrefix="0" xfId="0">
      <alignment horizontal="right"/>
    </xf>
    <xf numFmtId="175" fontId="33" fillId="0" borderId="0" applyAlignment="1" pivotButton="0" quotePrefix="0" xfId="0">
      <alignment horizontal="center"/>
    </xf>
    <xf numFmtId="174" fontId="33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1" fillId="0" borderId="0" applyAlignment="1" pivotButton="0" quotePrefix="0" xfId="0">
      <alignment horizontal="right"/>
    </xf>
    <xf numFmtId="173" fontId="42" fillId="0" borderId="0" applyAlignment="1" pivotButton="0" quotePrefix="0" xfId="0">
      <alignment horizontal="right"/>
    </xf>
    <xf numFmtId="169" fontId="0" fillId="0" borderId="0" pivotButton="0" quotePrefix="0" xfId="0"/>
    <xf numFmtId="176" fontId="3" fillId="0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Chip Radar</author>
  </authors>
  <commentList>
    <comment ref="D16" authorId="0" shapeId="0">
      <text>
        <t>⚠️ 假共識警示
領頭大戶「陳族元」獨佔比 73.5%
  • 領頭金額 125,231 萬
  • 合計淨買 170,333 萬
  • 大戶數 11 位 (名義共識)
判讀: 名義 11 位大戶共識,
實質 1 人下注佔 74%,
剩餘 10 位為陪襯小單,
真共識訊號被稀釋.</t>
      </text>
    </comment>
    <comment ref="D18" authorId="0" shapeId="0">
      <text>
        <t>⚠️ 假共識警示
領頭大戶「陳族元」獨佔比 85.3%
  • 領頭金額 113,167 萬
  • 合計淨買 132,691 萬
  • 大戶數 11 位 (名義共識)
判讀: 名義 11 位大戶共識,
實質 1 人下注佔 85%,
剩餘 10 位為陪襯小單,
真共識訊號被稀釋.</t>
      </text>
    </comment>
  </commentList>
</comments>
</file>

<file path=xl/tables/table1.xml><?xml version="1.0" encoding="utf-8"?>
<table xmlns="http://schemas.openxmlformats.org/spreadsheetml/2006/main" id="1" name="ConsensusTbl_15" displayName="ConsensusTbl_15" ref="B15:N28" headerRowCount="1">
  <autoFilter ref="B15:N28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38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40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" t="inlineStr">
        <is>
          <t>📋 Chip Radar 今日 Dashboard — 2026/07/01 (追蹤 13 位大戶)</t>
        </is>
      </c>
    </row>
    <row r="3" ht="24" customHeight="1">
      <c r="B3" s="2" t="inlineStr">
        <is>
          <t>🎯 13 強共識 / Q5 ↕ 中性 58.7% / E 10 異常 / F 8 長期 / J 0 集中 / H 6 借券壓力</t>
        </is>
      </c>
    </row>
    <row r="4" ht="22" customHeight="1">
      <c r="B4" s="3" t="inlineStr">
        <is>
          <t>💡 📌 一般共識 2327 / 4958 / 3189 (Q5 中性, 中性信號)  |  避開 — 除權息 27 檔: 1101, 1101B, 1470 ... | 明日恐處置 1 檔: 2303  |  訊號: 中性但 hot 多 (24 個信號 — 留意)</t>
        </is>
      </c>
    </row>
    <row r="6" ht="22" customHeight="1">
      <c r="B6" s="4" t="inlineStr">
        <is>
          <t>★ 0. 今日強共識買超 (≥10 位追蹤大戶共同淨買, 個股 only — 必看)</t>
        </is>
      </c>
    </row>
    <row r="7" ht="18" customHeight="1">
      <c r="B7" s="5" t="inlineStr">
        <is>
          <t>🟡 baseline 30 天 backtest: 漲 153/306 (50%) | 平均 +0.89% | 判定: 中性</t>
        </is>
      </c>
    </row>
    <row r="8" ht="18" customHeight="1">
      <c r="B8" s="6" t="inlineStr">
        <is>
          <t>⭐ Phase 3.2 真 alpha (三訊號): 共識 ∩ Q5 偏多 ∩ master 量爆 hit 78.9% [63.7–88.9% 95% CI] (n=38, mean +4.37%) | 30d 實戰: 11/17 = 64.7% vs baseline 45.1% = +33.9pp — 強 alpha (p&lt;0.001)</t>
        </is>
      </c>
    </row>
    <row r="9" ht="18" customHeight="1">
      <c r="B9" s="6" t="inlineStr">
        <is>
          <t>💰 跟單實際淨報酬 (扣 0.585% 成本): 淨 hit 28/38 = 74% | 平均 +3.79% | 中位 +2.49% | 累積 +144% — 淨利 alpha 確認</t>
        </is>
      </c>
    </row>
    <row r="10" ht="18" customHeight="1">
      <c r="B10" s="7" t="inlineStr">
        <is>
          <t>🔬 Phase 3.5 多日 alpha (觀察期 n=38): 5 日內擇高 86.8% / +12.78%  |  premium 擇高 92.9% / +15.99% (n=28)  |  premium 持有 3 天 92.9% / +12.16%  — 來源: quad_hit_log × stock_history t+1~t+5</t>
        </is>
      </c>
    </row>
    <row r="11" ht="18" customHeight="1">
      <c r="B11" s="8" t="inlineStr">
        <is>
          <t>💤 今日有 1 位 master 量爆但 Q5 中性 — quad 未啟動</t>
        </is>
      </c>
    </row>
    <row r="12" ht="18" customHeight="1">
      <c r="B12" s="9" t="inlineStr">
        <is>
          <t>📊 今日共識集中產業 (top 3): 半導體業 6 (46%)  |  電子零組件業 2 (15%)  |  電腦及週邊設備業 1 (8%)</t>
        </is>
      </c>
    </row>
    <row r="13" ht="18" customHeight="1">
      <c r="B13" s="10" t="inlineStr">
        <is>
          <t>📌 大牌分析師 歷史 alpha: 全 picks n=1461 hit_1d=48% / hit_3d=51%  |  新標 n=302 hit_3d=49% mean=+0.96%  |  連加 n=69 hit_5d=59% mean=+3.86%</t>
        </is>
      </c>
    </row>
    <row r="14" ht="18" customHeight="1">
      <c r="B14" s="11" t="inlineStr">
        <is>
          <t>ⓘ 排序: 合計淨買金額 ↓  |  ⭐⭐ = premium quad (陳律師/竹科主力/陳族元, ≥77% hit)  |  ⭐ = 一般 quad (78.9%)  |  ⚠️ = 領頭獨佔 ≥50%  |  🔁 = 過去 7 天 quad 重複  |  📌 = 你關注的 master (大牌分析師) 參與</t>
        </is>
      </c>
    </row>
    <row r="15">
      <c r="B15" s="12" t="inlineStr">
        <is>
          <t>#</t>
        </is>
      </c>
      <c r="C15" s="12" t="inlineStr">
        <is>
          <t>代號</t>
        </is>
      </c>
      <c r="D15" s="12" t="inlineStr">
        <is>
          <t>名稱</t>
        </is>
      </c>
      <c r="E15" s="12" t="inlineStr">
        <is>
          <t>大戶數</t>
        </is>
      </c>
      <c r="F15" s="12" t="inlineStr">
        <is>
          <t>分點數</t>
        </is>
      </c>
      <c r="G15" s="12" t="inlineStr">
        <is>
          <t>領頭大戶</t>
        </is>
      </c>
      <c r="H15" s="12" t="inlineStr">
        <is>
          <t>領頭金額(萬)</t>
        </is>
      </c>
      <c r="I15" s="12" t="inlineStr">
        <is>
          <t>#2 大戶</t>
        </is>
      </c>
      <c r="J15" s="12" t="inlineStr">
        <is>
          <t>#2 金額(萬)</t>
        </is>
      </c>
      <c r="K15" s="12" t="inlineStr">
        <is>
          <t>#3 大戶</t>
        </is>
      </c>
      <c r="L15" s="12" t="inlineStr">
        <is>
          <t>#3 金額(萬)</t>
        </is>
      </c>
      <c r="M15" s="12" t="inlineStr">
        <is>
          <t>+更多</t>
        </is>
      </c>
      <c r="N15" s="12" t="inlineStr">
        <is>
          <t>合計淨買(萬)</t>
        </is>
      </c>
    </row>
    <row r="16">
      <c r="B16" s="13" t="n">
        <v>1</v>
      </c>
      <c r="C16" t="inlineStr">
        <is>
          <t>2327</t>
        </is>
      </c>
      <c r="D16" s="14" t="inlineStr">
        <is>
          <t>📌 ⚠️ 國巨*</t>
        </is>
      </c>
      <c r="E16" s="15" t="n">
        <v>11</v>
      </c>
      <c r="F16" s="16" t="n">
        <v>19</v>
      </c>
      <c r="G16" s="17" t="inlineStr">
        <is>
          <t>陳族元</t>
        </is>
      </c>
      <c r="H16" s="18" t="n">
        <v>125231</v>
      </c>
      <c r="I16" t="inlineStr">
        <is>
          <t>林滄海</t>
        </is>
      </c>
      <c r="J16" s="19" t="n">
        <v>12562</v>
      </c>
      <c r="K16" t="inlineStr">
        <is>
          <t>巨人傑</t>
        </is>
      </c>
      <c r="L16" s="19" t="n">
        <v>11440</v>
      </c>
      <c r="M16" s="20" t="n">
        <v>8</v>
      </c>
      <c r="N16" s="18" t="n">
        <v>170333</v>
      </c>
    </row>
    <row r="17">
      <c r="B17" s="13" t="n">
        <v>2</v>
      </c>
      <c r="C17" t="inlineStr">
        <is>
          <t>4958</t>
        </is>
      </c>
      <c r="D17" t="inlineStr">
        <is>
          <t>📌 臻鼎-KY</t>
        </is>
      </c>
      <c r="E17" s="15" t="n">
        <v>11</v>
      </c>
      <c r="F17" s="16" t="n">
        <v>28</v>
      </c>
      <c r="G17" s="17" t="inlineStr">
        <is>
          <t>林滄海</t>
        </is>
      </c>
      <c r="H17" s="18" t="n">
        <v>68913</v>
      </c>
      <c r="I17" t="inlineStr">
        <is>
          <t>陳族元</t>
        </is>
      </c>
      <c r="J17" s="19" t="n">
        <v>27838</v>
      </c>
      <c r="K17" t="inlineStr">
        <is>
          <t>民哥</t>
        </is>
      </c>
      <c r="L17" s="19" t="n">
        <v>16163</v>
      </c>
      <c r="M17" s="20" t="n">
        <v>8</v>
      </c>
      <c r="N17" s="18" t="n">
        <v>140869</v>
      </c>
    </row>
    <row r="18">
      <c r="B18" s="13" t="n">
        <v>3</v>
      </c>
      <c r="C18" t="inlineStr">
        <is>
          <t>3189</t>
        </is>
      </c>
      <c r="D18" s="14" t="inlineStr">
        <is>
          <t>📌 ⚠️ 景碩</t>
        </is>
      </c>
      <c r="E18" s="15" t="n">
        <v>11</v>
      </c>
      <c r="F18" s="16" t="n">
        <v>19</v>
      </c>
      <c r="G18" s="17" t="inlineStr">
        <is>
          <t>陳族元</t>
        </is>
      </c>
      <c r="H18" s="18" t="n">
        <v>113168</v>
      </c>
      <c r="I18" t="inlineStr">
        <is>
          <t>大牌分析師</t>
        </is>
      </c>
      <c r="J18" s="19" t="n">
        <v>5020</v>
      </c>
      <c r="K18" t="inlineStr">
        <is>
          <t>陳律師</t>
        </is>
      </c>
      <c r="L18" s="19" t="n">
        <v>4108</v>
      </c>
      <c r="M18" s="20" t="n">
        <v>8</v>
      </c>
      <c r="N18" s="18" t="n">
        <v>132691</v>
      </c>
    </row>
    <row r="19">
      <c r="B19" t="n">
        <v>4</v>
      </c>
      <c r="C19" t="inlineStr">
        <is>
          <t>2317</t>
        </is>
      </c>
      <c r="D19" t="inlineStr">
        <is>
          <t>📌 鴻海</t>
        </is>
      </c>
      <c r="E19" s="15" t="n">
        <v>13</v>
      </c>
      <c r="F19" s="16" t="n">
        <v>28</v>
      </c>
      <c r="G19" s="17" t="inlineStr">
        <is>
          <t>陳族元</t>
        </is>
      </c>
      <c r="H19" s="18" t="n">
        <v>13571</v>
      </c>
      <c r="I19" t="inlineStr">
        <is>
          <t>強森</t>
        </is>
      </c>
      <c r="J19" s="19" t="n">
        <v>10199</v>
      </c>
      <c r="K19" t="inlineStr">
        <is>
          <t>張濬安</t>
        </is>
      </c>
      <c r="L19" s="19" t="n">
        <v>5886</v>
      </c>
      <c r="M19" s="20" t="n">
        <v>10</v>
      </c>
      <c r="N19" s="18" t="n">
        <v>52338</v>
      </c>
    </row>
    <row r="20">
      <c r="B20" t="n">
        <v>5</v>
      </c>
      <c r="C20" t="inlineStr">
        <is>
          <t>2344</t>
        </is>
      </c>
      <c r="D20" t="inlineStr">
        <is>
          <t>📌 華邦電</t>
        </is>
      </c>
      <c r="E20" s="15" t="n">
        <v>13</v>
      </c>
      <c r="F20" s="16" t="n">
        <v>20</v>
      </c>
      <c r="G20" s="17" t="inlineStr">
        <is>
          <t>陳族元</t>
        </is>
      </c>
      <c r="H20" s="18" t="n">
        <v>10887</v>
      </c>
      <c r="I20" t="inlineStr">
        <is>
          <t>布哥</t>
        </is>
      </c>
      <c r="J20" s="19" t="n">
        <v>9039</v>
      </c>
      <c r="K20" t="inlineStr">
        <is>
          <t>張濬安</t>
        </is>
      </c>
      <c r="L20" s="19" t="n">
        <v>6423</v>
      </c>
      <c r="M20" s="20" t="n">
        <v>10</v>
      </c>
      <c r="N20" s="18" t="n">
        <v>49708</v>
      </c>
    </row>
    <row r="21">
      <c r="B21" t="n">
        <v>6</v>
      </c>
      <c r="C21" t="inlineStr">
        <is>
          <t>2408</t>
        </is>
      </c>
      <c r="D21" t="inlineStr">
        <is>
          <t>📌 南亞科</t>
        </is>
      </c>
      <c r="E21" s="15" t="n">
        <v>11</v>
      </c>
      <c r="F21" s="16" t="n">
        <v>17</v>
      </c>
      <c r="G21" s="17" t="inlineStr">
        <is>
          <t>陳族元</t>
        </is>
      </c>
      <c r="H21" s="18" t="n">
        <v>10443</v>
      </c>
      <c r="I21" t="inlineStr">
        <is>
          <t>林滄海</t>
        </is>
      </c>
      <c r="J21" s="19" t="n">
        <v>8128</v>
      </c>
      <c r="K21" t="inlineStr">
        <is>
          <t>布哥</t>
        </is>
      </c>
      <c r="L21" s="19" t="n">
        <v>5062</v>
      </c>
      <c r="M21" s="20" t="n">
        <v>8</v>
      </c>
      <c r="N21" s="18" t="n">
        <v>39670</v>
      </c>
    </row>
    <row r="22">
      <c r="B22" t="n">
        <v>7</v>
      </c>
      <c r="C22" t="inlineStr">
        <is>
          <t>2409</t>
        </is>
      </c>
      <c r="D22" t="inlineStr">
        <is>
          <t>📌 友達</t>
        </is>
      </c>
      <c r="E22" s="15" t="n">
        <v>12</v>
      </c>
      <c r="F22" s="16" t="n">
        <v>26</v>
      </c>
      <c r="G22" s="17" t="inlineStr">
        <is>
          <t>張濬安</t>
        </is>
      </c>
      <c r="H22" s="18" t="n">
        <v>9401</v>
      </c>
      <c r="I22" t="inlineStr">
        <is>
          <t>陳族元</t>
        </is>
      </c>
      <c r="J22" s="19" t="n">
        <v>6490</v>
      </c>
      <c r="K22" t="inlineStr">
        <is>
          <t>竹科主力分點</t>
        </is>
      </c>
      <c r="L22" s="19" t="n">
        <v>3786</v>
      </c>
      <c r="M22" s="20" t="n">
        <v>9</v>
      </c>
      <c r="N22" s="18" t="n">
        <v>30505</v>
      </c>
    </row>
    <row r="23">
      <c r="B23" t="n">
        <v>8</v>
      </c>
      <c r="C23" t="inlineStr">
        <is>
          <t>6147</t>
        </is>
      </c>
      <c r="D23" t="inlineStr">
        <is>
          <t>📌 頎邦</t>
        </is>
      </c>
      <c r="E23" s="15" t="n">
        <v>12</v>
      </c>
      <c r="F23" s="16" t="n">
        <v>16</v>
      </c>
      <c r="G23" s="17" t="inlineStr">
        <is>
          <t>林滄海</t>
        </is>
      </c>
      <c r="H23" s="18" t="n">
        <v>7572</v>
      </c>
      <c r="I23" t="inlineStr">
        <is>
          <t>民哥</t>
        </is>
      </c>
      <c r="J23" s="19" t="n">
        <v>3582</v>
      </c>
      <c r="K23" t="inlineStr">
        <is>
          <t>張濬安</t>
        </is>
      </c>
      <c r="L23" s="19" t="n">
        <v>1726</v>
      </c>
      <c r="M23" s="20" t="n">
        <v>9</v>
      </c>
      <c r="N23" s="18" t="n">
        <v>21324</v>
      </c>
    </row>
    <row r="24">
      <c r="B24" t="n">
        <v>9</v>
      </c>
      <c r="C24" t="inlineStr">
        <is>
          <t>8299</t>
        </is>
      </c>
      <c r="D24" t="inlineStr">
        <is>
          <t>📌 群聯</t>
        </is>
      </c>
      <c r="E24" s="15" t="n">
        <v>11</v>
      </c>
      <c r="F24" s="16" t="n">
        <v>15</v>
      </c>
      <c r="G24" s="17" t="inlineStr">
        <is>
          <t>張濬安</t>
        </is>
      </c>
      <c r="H24" s="18" t="n">
        <v>3930</v>
      </c>
      <c r="I24" t="inlineStr">
        <is>
          <t>竹科主力分點</t>
        </is>
      </c>
      <c r="J24" s="19" t="n">
        <v>2952</v>
      </c>
      <c r="K24" t="inlineStr">
        <is>
          <t>布哥</t>
        </is>
      </c>
      <c r="L24" s="19" t="n">
        <v>2889</v>
      </c>
      <c r="M24" s="20" t="n">
        <v>8</v>
      </c>
      <c r="N24" s="18" t="n">
        <v>17237</v>
      </c>
    </row>
    <row r="25">
      <c r="B25" t="n">
        <v>10</v>
      </c>
      <c r="C25" t="inlineStr">
        <is>
          <t>2357</t>
        </is>
      </c>
      <c r="D25" t="inlineStr">
        <is>
          <t>📌 華碩</t>
        </is>
      </c>
      <c r="E25" s="15" t="n">
        <v>10</v>
      </c>
      <c r="F25" s="16" t="n">
        <v>15</v>
      </c>
      <c r="G25" s="17" t="inlineStr">
        <is>
          <t>竹科主力分點</t>
        </is>
      </c>
      <c r="H25" s="18" t="n">
        <v>6021</v>
      </c>
      <c r="I25" t="inlineStr">
        <is>
          <t>強森</t>
        </is>
      </c>
      <c r="J25" s="19" t="n">
        <v>2551</v>
      </c>
      <c r="K25" t="inlineStr">
        <is>
          <t>林滄海</t>
        </is>
      </c>
      <c r="L25" s="19" t="n">
        <v>2204</v>
      </c>
      <c r="M25" s="20" t="n">
        <v>7</v>
      </c>
      <c r="N25" s="18" t="n">
        <v>16403</v>
      </c>
    </row>
    <row r="26">
      <c r="B26" t="n">
        <v>11</v>
      </c>
      <c r="C26" t="inlineStr">
        <is>
          <t>6770</t>
        </is>
      </c>
      <c r="D26" t="inlineStr">
        <is>
          <t>📌 力積電</t>
        </is>
      </c>
      <c r="E26" s="15" t="n">
        <v>11</v>
      </c>
      <c r="F26" s="16" t="n">
        <v>21</v>
      </c>
      <c r="G26" s="17" t="inlineStr">
        <is>
          <t>張濬安</t>
        </is>
      </c>
      <c r="H26" s="18" t="n">
        <v>4403</v>
      </c>
      <c r="I26" t="inlineStr">
        <is>
          <t>強森</t>
        </is>
      </c>
      <c r="J26" s="19" t="n">
        <v>2523</v>
      </c>
      <c r="K26" t="inlineStr">
        <is>
          <t>林滄海</t>
        </is>
      </c>
      <c r="L26" s="19" t="n">
        <v>2250</v>
      </c>
      <c r="M26" s="20" t="n">
        <v>8</v>
      </c>
      <c r="N26" s="18" t="n">
        <v>16268</v>
      </c>
    </row>
    <row r="27">
      <c r="B27" t="n">
        <v>12</v>
      </c>
      <c r="C27" t="inlineStr">
        <is>
          <t>1718</t>
        </is>
      </c>
      <c r="D27" t="inlineStr">
        <is>
          <t>📌 中纖</t>
        </is>
      </c>
      <c r="E27" s="15" t="n">
        <v>13</v>
      </c>
      <c r="F27" s="16" t="n">
        <v>24</v>
      </c>
      <c r="G27" s="17" t="inlineStr">
        <is>
          <t>強森</t>
        </is>
      </c>
      <c r="H27" s="18" t="n">
        <v>1004</v>
      </c>
      <c r="I27" t="inlineStr">
        <is>
          <t>陳族元</t>
        </is>
      </c>
      <c r="J27" s="19" t="n">
        <v>858</v>
      </c>
      <c r="K27" t="inlineStr">
        <is>
          <t>張濬安</t>
        </is>
      </c>
      <c r="L27" s="19" t="n">
        <v>770</v>
      </c>
      <c r="M27" s="20" t="n">
        <v>10</v>
      </c>
      <c r="N27" s="18" t="n">
        <v>5062</v>
      </c>
    </row>
    <row r="28">
      <c r="B28" t="n">
        <v>13</v>
      </c>
      <c r="C28" t="inlineStr">
        <is>
          <t>9904</t>
        </is>
      </c>
      <c r="D28" t="inlineStr">
        <is>
          <t>📌 寶成</t>
        </is>
      </c>
      <c r="E28" s="15" t="n">
        <v>10</v>
      </c>
      <c r="F28" s="16" t="n">
        <v>15</v>
      </c>
      <c r="G28" s="17" t="inlineStr">
        <is>
          <t>強森</t>
        </is>
      </c>
      <c r="H28" s="18" t="n">
        <v>864</v>
      </c>
      <c r="I28" t="inlineStr">
        <is>
          <t>陳律師</t>
        </is>
      </c>
      <c r="J28" s="19" t="n">
        <v>750</v>
      </c>
      <c r="K28" t="inlineStr">
        <is>
          <t>大牌分析師</t>
        </is>
      </c>
      <c r="L28" s="19" t="n">
        <v>302</v>
      </c>
      <c r="M28" s="20" t="n">
        <v>7</v>
      </c>
      <c r="N28" s="18" t="n">
        <v>3056</v>
      </c>
    </row>
    <row r="30" ht="22" customHeight="1">
      <c r="B30" s="21" t="inlineStr">
        <is>
          <t>▍ A. 追蹤池摘要 (10 秒判讀今日 13 位大戶在做什麼)</t>
        </is>
      </c>
    </row>
    <row r="31" ht="28" customHeight="1">
      <c r="B31" s="22" t="inlineStr">
        <is>
          <t>Q1 活躍率</t>
        </is>
      </c>
      <c r="C31" s="195" t="n">
        <v>1</v>
      </c>
      <c r="F31" s="22" t="inlineStr">
        <is>
          <t>Q2 淨買差</t>
        </is>
      </c>
      <c r="G31" s="196" t="n">
        <v>-69.29268999999999</v>
      </c>
    </row>
    <row r="32" ht="28" customHeight="1">
      <c r="B32" s="22" t="inlineStr">
        <is>
          <t>Q3 強共識股</t>
        </is>
      </c>
      <c r="C32" s="197" t="n">
        <v>13</v>
      </c>
      <c r="F32" s="22" t="inlineStr">
        <is>
          <t>Q4 追蹤佔比</t>
        </is>
      </c>
      <c r="G32" s="198" t="n">
        <v>0.2066133272140842</v>
      </c>
    </row>
    <row r="33" ht="22" customHeight="1">
      <c r="B33" s="199" t="n">
        <v>58.7</v>
      </c>
    </row>
    <row r="34" ht="18" customHeight="1">
      <c r="B34" s="28" t="inlineStr">
        <is>
          <t>✅ 過去 30 天 P/C 命中率: 偏多 6/7 (86%) | 偏空 1/1 (100%) | 整體 7/8 (88%)</t>
        </is>
      </c>
    </row>
    <row r="36">
      <c r="B36" s="29" t="inlineStr">
        <is>
          <t>▍ B. Top 5 高手(按今日總買金額)</t>
        </is>
      </c>
      <c r="F36" s="30" t="inlineStr">
        <is>
          <t>▍ C. Top 5 熱門個股(按今日淨買金額)</t>
        </is>
      </c>
    </row>
    <row r="37">
      <c r="B37" s="31" t="inlineStr">
        <is>
          <t>#</t>
        </is>
      </c>
      <c r="C37" s="31" t="inlineStr">
        <is>
          <t>Master</t>
        </is>
      </c>
      <c r="D37" s="31" t="inlineStr">
        <is>
          <t>買進(萬元)</t>
        </is>
      </c>
      <c r="E37" s="31" t="inlineStr">
        <is>
          <t>佔比%</t>
        </is>
      </c>
      <c r="F37" s="31" t="inlineStr">
        <is>
          <t>#</t>
        </is>
      </c>
      <c r="G37" s="31" t="inlineStr">
        <is>
          <t>個股</t>
        </is>
      </c>
      <c r="H37" s="31" t="inlineStr">
        <is>
          <t>淨買(萬元)</t>
        </is>
      </c>
      <c r="I37" s="31" t="inlineStr">
        <is>
          <t>漲跌%</t>
        </is>
      </c>
    </row>
    <row r="38">
      <c r="B38" t="n">
        <v>1</v>
      </c>
      <c r="C38" s="32" t="inlineStr">
        <is>
          <t>陳族元</t>
        </is>
      </c>
      <c r="D38" s="33" t="n">
        <v>2833870</v>
      </c>
      <c r="E38" t="inlineStr">
        <is>
          <t>38.9%</t>
        </is>
      </c>
      <c r="F38" t="n">
        <v>1</v>
      </c>
      <c r="G38" s="17" t="inlineStr">
        <is>
          <t>台積電(2330)</t>
        </is>
      </c>
      <c r="H38" s="33" t="n">
        <v>519834</v>
      </c>
      <c r="I38" s="200" t="n">
        <v>0.0394</v>
      </c>
    </row>
    <row r="39">
      <c r="B39" t="n">
        <v>2</v>
      </c>
      <c r="C39" s="35" t="inlineStr">
        <is>
          <t>張濬安(航海王)</t>
        </is>
      </c>
      <c r="D39" s="33" t="n">
        <v>1847223</v>
      </c>
      <c r="E39" t="inlineStr">
        <is>
          <t>25.4%</t>
        </is>
      </c>
      <c r="F39" t="n">
        <v>2</v>
      </c>
      <c r="G39" s="17" t="inlineStr">
        <is>
          <t>第一金(2892)</t>
        </is>
      </c>
      <c r="H39" s="33" t="n">
        <v>334046</v>
      </c>
      <c r="I39" s="200" t="n">
        <v>0.0137</v>
      </c>
    </row>
    <row r="40">
      <c r="B40" t="n">
        <v>3</v>
      </c>
      <c r="C40" s="36" t="inlineStr">
        <is>
          <t>林滄海</t>
        </is>
      </c>
      <c r="D40" s="33" t="n">
        <v>767788</v>
      </c>
      <c r="E40" t="inlineStr">
        <is>
          <t>10.5%</t>
        </is>
      </c>
      <c r="F40" t="n">
        <v>3</v>
      </c>
      <c r="G40" s="17" t="inlineStr">
        <is>
          <t>兆豐金(2886)</t>
        </is>
      </c>
      <c r="H40" s="33" t="n">
        <v>278579</v>
      </c>
      <c r="I40" s="200" t="n">
        <v>0.0011</v>
      </c>
    </row>
    <row r="41">
      <c r="B41" t="n">
        <v>4</v>
      </c>
      <c r="C41" s="37" t="inlineStr">
        <is>
          <t>強森</t>
        </is>
      </c>
      <c r="D41" s="33" t="n">
        <v>354891</v>
      </c>
      <c r="E41" t="inlineStr">
        <is>
          <t>4.9%</t>
        </is>
      </c>
      <c r="F41" t="n">
        <v>4</v>
      </c>
      <c r="G41" s="17" t="inlineStr">
        <is>
          <t>緯穎(6669)</t>
        </is>
      </c>
      <c r="H41" s="33" t="n">
        <v>236490</v>
      </c>
      <c r="I41" s="200" t="n">
        <v>0.0863</v>
      </c>
    </row>
    <row r="42">
      <c r="B42" t="n">
        <v>5</v>
      </c>
      <c r="C42" s="38" t="inlineStr">
        <is>
          <t>蔣承翰</t>
        </is>
      </c>
      <c r="D42" s="33" t="n">
        <v>332571</v>
      </c>
      <c r="E42" t="inlineStr">
        <is>
          <t>4.6%</t>
        </is>
      </c>
      <c r="F42" t="n">
        <v>5</v>
      </c>
      <c r="G42" s="17" t="inlineStr">
        <is>
          <t>彰銀(2801)</t>
        </is>
      </c>
      <c r="H42" s="33" t="n">
        <v>198521</v>
      </c>
      <c r="I42" s="201" t="n">
        <v>-0.0062</v>
      </c>
    </row>
    <row r="45" ht="22" customHeight="1">
      <c r="B45" s="40" t="inlineStr">
        <is>
          <t>▍ E. 異常行為警報 (z&gt;2σ 量爆 + 新標的進場)</t>
        </is>
      </c>
    </row>
    <row r="46">
      <c r="B46" s="12" t="inlineStr">
        <is>
          <t>類型</t>
        </is>
      </c>
      <c r="C46" s="12" t="inlineStr">
        <is>
          <t>Master</t>
        </is>
      </c>
      <c r="D46" s="12" t="inlineStr">
        <is>
          <t>嚴重度</t>
        </is>
      </c>
      <c r="E46" s="12" t="inlineStr">
        <is>
          <t>說明</t>
        </is>
      </c>
      <c r="F46" s="12" t="inlineStr">
        <is>
          <t>金額/檔數</t>
        </is>
      </c>
    </row>
    <row r="47">
      <c r="B47" t="inlineStr">
        <is>
          <t>🆕 新標的</t>
        </is>
      </c>
      <c r="C47" t="inlineStr">
        <is>
          <t>陳族元</t>
        </is>
      </c>
      <c r="D47" t="inlineStr">
        <is>
          <t>high</t>
        </is>
      </c>
      <c r="E47" t="inlineStr">
        <is>
          <t>陳族元 今日買進 11 檔新標的 (過去從沒買過)</t>
        </is>
      </c>
      <c r="F47" t="inlineStr">
        <is>
          <t>11 檔</t>
        </is>
      </c>
    </row>
    <row r="48">
      <c r="B48" s="41" t="inlineStr">
        <is>
          <t>🆕 新標的</t>
        </is>
      </c>
      <c r="C48" s="41" t="inlineStr">
        <is>
          <t>民哥</t>
        </is>
      </c>
      <c r="D48" s="41" t="inlineStr">
        <is>
          <t>high</t>
        </is>
      </c>
      <c r="E48" s="41" t="inlineStr">
        <is>
          <t>民哥 今日買進 10 檔新標的 (過去從沒買過)</t>
        </is>
      </c>
      <c r="F48" s="41" t="inlineStr">
        <is>
          <t>10 檔</t>
        </is>
      </c>
    </row>
    <row r="49">
      <c r="B49" t="inlineStr">
        <is>
          <t>🆕 新標的</t>
        </is>
      </c>
      <c r="C49" t="inlineStr">
        <is>
          <t>張濬安(航海王)</t>
        </is>
      </c>
      <c r="D49" t="inlineStr">
        <is>
          <t>high</t>
        </is>
      </c>
      <c r="E49" t="inlineStr">
        <is>
          <t>張濬安(航海王) 今日買進 9 檔新標的 (過去從沒買過)</t>
        </is>
      </c>
      <c r="F49" t="inlineStr">
        <is>
          <t>9 檔</t>
        </is>
      </c>
    </row>
    <row r="50">
      <c r="B50" s="41" t="inlineStr">
        <is>
          <t>🆕 新標的</t>
        </is>
      </c>
      <c r="C50" s="41" t="inlineStr">
        <is>
          <t>陳律師</t>
        </is>
      </c>
      <c r="D50" s="41" t="inlineStr">
        <is>
          <t>high</t>
        </is>
      </c>
      <c r="E50" s="41" t="inlineStr">
        <is>
          <t>陳律師 今日買進 9 檔新標的 (過去從沒買過)</t>
        </is>
      </c>
      <c r="F50" s="41" t="inlineStr">
        <is>
          <t>9 檔</t>
        </is>
      </c>
    </row>
    <row r="51">
      <c r="B51" t="inlineStr">
        <is>
          <t>🆕 新標的</t>
        </is>
      </c>
      <c r="C51" t="inlineStr">
        <is>
          <t>布哥/n_nchang</t>
        </is>
      </c>
      <c r="D51" t="inlineStr">
        <is>
          <t>high</t>
        </is>
      </c>
      <c r="E51" t="inlineStr">
        <is>
          <t>布哥/n_nchang 今日買進 7 檔新標的 (過去從沒買過)</t>
        </is>
      </c>
      <c r="F51" t="inlineStr">
        <is>
          <t>7 檔</t>
        </is>
      </c>
    </row>
    <row r="52">
      <c r="B52" s="41" t="inlineStr">
        <is>
          <t>🆕 新標的</t>
        </is>
      </c>
      <c r="C52" s="41" t="inlineStr">
        <is>
          <t>強森</t>
        </is>
      </c>
      <c r="D52" s="41" t="inlineStr">
        <is>
          <t>high</t>
        </is>
      </c>
      <c r="E52" s="41" t="inlineStr">
        <is>
          <t>強森 今日買進 7 檔新標的 (過去從沒買過)</t>
        </is>
      </c>
      <c r="F52" s="41" t="inlineStr">
        <is>
          <t>7 檔</t>
        </is>
      </c>
    </row>
    <row r="53">
      <c r="B53" t="inlineStr">
        <is>
          <t>🆕 新標的</t>
        </is>
      </c>
      <c r="C53" t="inlineStr">
        <is>
          <t>Tradow</t>
        </is>
      </c>
      <c r="D53" t="inlineStr">
        <is>
          <t>high</t>
        </is>
      </c>
      <c r="E53" t="inlineStr">
        <is>
          <t>Tradow 今日買進 6 檔新標的 (過去從沒買過)</t>
        </is>
      </c>
      <c r="F53" t="inlineStr">
        <is>
          <t>6 檔</t>
        </is>
      </c>
    </row>
    <row r="54">
      <c r="B54" s="41" t="inlineStr">
        <is>
          <t>🆕 新標的</t>
        </is>
      </c>
      <c r="C54" s="41" t="inlineStr">
        <is>
          <t>大牌分析師</t>
        </is>
      </c>
      <c r="D54" s="41" t="inlineStr">
        <is>
          <t>high</t>
        </is>
      </c>
      <c r="E54" s="41" t="inlineStr">
        <is>
          <t>大牌分析師 今日買進 6 檔新標的 (過去從沒買過)</t>
        </is>
      </c>
      <c r="F54" s="41" t="inlineStr">
        <is>
          <t>6 檔</t>
        </is>
      </c>
    </row>
    <row r="55">
      <c r="B55" t="inlineStr">
        <is>
          <t>🆕 新標的</t>
        </is>
      </c>
      <c r="C55" t="inlineStr">
        <is>
          <t>巨人傑</t>
        </is>
      </c>
      <c r="D55" t="inlineStr">
        <is>
          <t>high</t>
        </is>
      </c>
      <c r="E55" t="inlineStr">
        <is>
          <t>巨人傑 今日買進 6 檔新標的 (過去從沒買過)</t>
        </is>
      </c>
      <c r="F55" t="inlineStr">
        <is>
          <t>6 檔</t>
        </is>
      </c>
    </row>
    <row r="56">
      <c r="B56" s="41" t="inlineStr">
        <is>
          <t>🆕 新標的</t>
        </is>
      </c>
      <c r="C56" s="41" t="inlineStr">
        <is>
          <t>竹科主力分點</t>
        </is>
      </c>
      <c r="D56" s="41" t="inlineStr">
        <is>
          <t>high</t>
        </is>
      </c>
      <c r="E56" s="41" t="inlineStr">
        <is>
          <t>竹科主力分點 今日買進 6 檔新標的 (過去從沒買過)</t>
        </is>
      </c>
      <c r="F56" s="41" t="inlineStr">
        <is>
          <t>6 檔</t>
        </is>
      </c>
    </row>
    <row r="57">
      <c r="B57" s="42" t="inlineStr">
        <is>
          <t>… 另 4 筆 anomaly (詳見當日 sheet)</t>
        </is>
      </c>
      <c r="C57" s="43" t="n"/>
      <c r="D57" s="43" t="n"/>
      <c r="E57" s="43" t="n"/>
      <c r="F57" s="43" t="n"/>
    </row>
    <row r="59" ht="22" customHeight="1">
      <c r="B59" s="44" t="inlineStr">
        <is>
          <t>▍ F. 跨日連續囤貨 Top 30 (按連續天數排序)</t>
        </is>
      </c>
    </row>
    <row r="60">
      <c r="B60" s="45" t="inlineStr">
        <is>
          <t>Master</t>
        </is>
      </c>
      <c r="C60" s="45" t="inlineStr">
        <is>
          <t>股票代號</t>
        </is>
      </c>
      <c r="D60" s="45" t="inlineStr">
        <is>
          <t>連續天數</t>
        </is>
      </c>
      <c r="E60" s="45" t="inlineStr">
        <is>
          <t>累計買金額(萬)</t>
        </is>
      </c>
      <c r="F60" s="45" t="inlineStr">
        <is>
          <t>說明</t>
        </is>
      </c>
    </row>
    <row r="61">
      <c r="B61" t="inlineStr">
        <is>
          <t>🔴 陳族元</t>
        </is>
      </c>
      <c r="C61" t="inlineStr">
        <is>
          <t>2327</t>
        </is>
      </c>
      <c r="D61" s="46" t="n">
        <v>40</v>
      </c>
      <c r="E61" t="n">
        <v>4199746</v>
      </c>
      <c r="F61" t="inlineStr">
        <is>
          <t>陳族元 連續 40 天加碼 2327 (累計 4,199,746 萬)</t>
        </is>
      </c>
    </row>
    <row r="62">
      <c r="B62" s="41" t="inlineStr">
        <is>
          <t>🔴 張濬安(航海王)</t>
        </is>
      </c>
      <c r="C62" s="41" t="inlineStr">
        <is>
          <t>2327</t>
        </is>
      </c>
      <c r="D62" s="47" t="n">
        <v>33</v>
      </c>
      <c r="E62" s="41" t="n">
        <v>2765239</v>
      </c>
      <c r="F62" s="41" t="inlineStr">
        <is>
          <t>張濬安(航海王) 連續 33 天加碼 2327 (累計 2,765,239 萬)</t>
        </is>
      </c>
    </row>
    <row r="63">
      <c r="B63" t="inlineStr">
        <is>
          <t>🔴 陳族元</t>
        </is>
      </c>
      <c r="C63" t="inlineStr">
        <is>
          <t>2330</t>
        </is>
      </c>
      <c r="D63" s="46" t="n">
        <v>26</v>
      </c>
      <c r="E63" t="n">
        <v>3076631</v>
      </c>
      <c r="F63" t="inlineStr">
        <is>
          <t>陳族元 連續 26 天加碼 2330 (累計 3,076,631 萬)</t>
        </is>
      </c>
    </row>
    <row r="64">
      <c r="B64" s="41" t="inlineStr">
        <is>
          <t>🔴 陳族元</t>
        </is>
      </c>
      <c r="C64" s="41" t="inlineStr">
        <is>
          <t>2454</t>
        </is>
      </c>
      <c r="D64" s="47" t="n">
        <v>24</v>
      </c>
      <c r="E64" s="41" t="n">
        <v>2459724</v>
      </c>
      <c r="F64" s="41" t="inlineStr">
        <is>
          <t>陳族元 連續 24 天加碼 2454 (累計 2,459,724 萬)</t>
        </is>
      </c>
    </row>
    <row r="65">
      <c r="B65" t="inlineStr">
        <is>
          <t>🔴 張濬安(航海王)</t>
        </is>
      </c>
      <c r="C65" t="inlineStr">
        <is>
          <t>2303</t>
        </is>
      </c>
      <c r="D65" s="46" t="n">
        <v>24</v>
      </c>
      <c r="E65" t="n">
        <v>1289312</v>
      </c>
      <c r="F65" t="inlineStr">
        <is>
          <t>張濬安(航海王) 連續 24 天加碼 2303 (累計 1,289,312 萬)</t>
        </is>
      </c>
    </row>
    <row r="66">
      <c r="B66" s="41" t="inlineStr">
        <is>
          <t>🔴 陳族元</t>
        </is>
      </c>
      <c r="C66" s="41" t="inlineStr">
        <is>
          <t>2408</t>
        </is>
      </c>
      <c r="D66" s="47" t="n">
        <v>22</v>
      </c>
      <c r="E66" s="41" t="n">
        <v>1077017</v>
      </c>
      <c r="F66" s="41" t="inlineStr">
        <is>
          <t>陳族元 連續 22 天加碼 2408 (累計 1,077,017 萬)</t>
        </is>
      </c>
    </row>
    <row r="67">
      <c r="B67" t="inlineStr">
        <is>
          <t>🔴 陳律師</t>
        </is>
      </c>
      <c r="C67" t="inlineStr">
        <is>
          <t>2330</t>
        </is>
      </c>
      <c r="D67" s="46" t="n">
        <v>22</v>
      </c>
      <c r="E67" t="n">
        <v>368064</v>
      </c>
      <c r="F67" t="inlineStr">
        <is>
          <t>陳律師 連續 22 天加碼 2330 (累計 368,064 萬)</t>
        </is>
      </c>
    </row>
    <row r="68">
      <c r="B68" s="41" t="inlineStr">
        <is>
          <t>🔴 強森</t>
        </is>
      </c>
      <c r="C68" s="41" t="inlineStr">
        <is>
          <t>3481</t>
        </is>
      </c>
      <c r="D68" s="47" t="n">
        <v>21</v>
      </c>
      <c r="E68" s="41" t="n">
        <v>300692</v>
      </c>
      <c r="F68" s="41" t="inlineStr">
        <is>
          <t>強森 連續 21 天加碼 3481 (累計 300,692 萬)</t>
        </is>
      </c>
    </row>
    <row r="70" ht="22" customHeight="1">
      <c r="B70" s="48" t="inlineStr">
        <is>
          <t>▍ J. Master × Top 3 個股 cross-table (今日)</t>
        </is>
      </c>
    </row>
    <row r="71">
      <c r="B71" s="49" t="inlineStr">
        <is>
          <t>Master</t>
        </is>
      </c>
      <c r="C71" s="49" t="inlineStr">
        <is>
          <t>今日總買(萬)</t>
        </is>
      </c>
      <c r="D71" s="49" t="inlineStr">
        <is>
          <t>Top1 個股</t>
        </is>
      </c>
      <c r="E71" s="49" t="inlineStr">
        <is>
          <t>Top1 金額</t>
        </is>
      </c>
      <c r="F71" s="49" t="inlineStr">
        <is>
          <t>Top2 個股</t>
        </is>
      </c>
      <c r="G71" s="49" t="inlineStr">
        <is>
          <t>Top2 金額</t>
        </is>
      </c>
      <c r="H71" s="49" t="inlineStr">
        <is>
          <t>Top3 個股</t>
        </is>
      </c>
      <c r="I71" s="49" t="inlineStr">
        <is>
          <t>Top3 金額</t>
        </is>
      </c>
      <c r="J71" s="49" t="inlineStr">
        <is>
          <t>Top3 合計%</t>
        </is>
      </c>
    </row>
    <row r="72">
      <c r="B72" s="32" t="inlineStr">
        <is>
          <t>陳族元</t>
        </is>
      </c>
      <c r="C72" s="33" t="n">
        <v>2776908</v>
      </c>
      <c r="D72" t="inlineStr">
        <is>
          <t>第一金(2892)</t>
        </is>
      </c>
      <c r="E72" s="33" t="n">
        <v>321879</v>
      </c>
      <c r="F72" t="inlineStr">
        <is>
          <t>兆豐金(2886)</t>
        </is>
      </c>
      <c r="G72" s="33" t="n">
        <v>278663</v>
      </c>
      <c r="H72" t="inlineStr">
        <is>
          <t>彰銀(2801)</t>
        </is>
      </c>
      <c r="I72" s="33" t="n">
        <v>198077</v>
      </c>
      <c r="J72" s="202" t="n">
        <v>0.2875925512129766</v>
      </c>
    </row>
    <row r="73">
      <c r="B73" s="35" t="inlineStr">
        <is>
          <t>張濬安(航海王)</t>
        </is>
      </c>
      <c r="C73" s="33" t="n">
        <v>1467140</v>
      </c>
      <c r="D73" t="inlineStr">
        <is>
          <t>台積電(2330)</t>
        </is>
      </c>
      <c r="E73" s="33" t="n">
        <v>438226</v>
      </c>
      <c r="F73" t="inlineStr">
        <is>
          <t>緯穎(6669)</t>
        </is>
      </c>
      <c r="G73" s="33" t="n">
        <v>152697</v>
      </c>
      <c r="H73" t="inlineStr">
        <is>
          <t>聯電(2303)</t>
        </is>
      </c>
      <c r="I73" s="33" t="n">
        <v>74833</v>
      </c>
      <c r="J73" s="202" t="n">
        <v>0.453777975168566</v>
      </c>
    </row>
    <row r="74">
      <c r="B74" s="36" t="inlineStr">
        <is>
          <t>林滄海</t>
        </is>
      </c>
      <c r="C74" s="33" t="n">
        <v>743459</v>
      </c>
      <c r="D74" t="inlineStr">
        <is>
          <t>中美晶(5483)</t>
        </is>
      </c>
      <c r="E74" s="33" t="n">
        <v>142537</v>
      </c>
      <c r="F74" t="inlineStr">
        <is>
          <t>臻鼎-KY(4958)</t>
        </is>
      </c>
      <c r="G74" s="33" t="n">
        <v>73922</v>
      </c>
      <c r="H74" t="inlineStr">
        <is>
          <t>南茂(8150)</t>
        </is>
      </c>
      <c r="I74" s="33" t="n">
        <v>59823</v>
      </c>
      <c r="J74" s="202" t="n">
        <v>0.3716178527151938</v>
      </c>
    </row>
    <row r="75">
      <c r="B75" s="37" t="inlineStr">
        <is>
          <t>強森</t>
        </is>
      </c>
      <c r="C75" s="33" t="n">
        <v>335000</v>
      </c>
      <c r="D75" t="inlineStr">
        <is>
          <t>聯發科(2454)</t>
        </is>
      </c>
      <c r="E75" s="33" t="n">
        <v>19438</v>
      </c>
      <c r="F75" t="inlineStr">
        <is>
          <t>臻鼎-KY(4958)</t>
        </is>
      </c>
      <c r="G75" s="33" t="n">
        <v>19173</v>
      </c>
      <c r="H75" t="inlineStr">
        <is>
          <t>南亞(1303)</t>
        </is>
      </c>
      <c r="I75" s="33" t="n">
        <v>18563</v>
      </c>
      <c r="J75" s="202" t="n">
        <v>0.1706670185077778</v>
      </c>
    </row>
    <row r="76">
      <c r="B76" s="38" t="inlineStr">
        <is>
          <t>蔣承翰</t>
        </is>
      </c>
      <c r="C76" s="33" t="n">
        <v>317419</v>
      </c>
      <c r="D76" t="inlineStr">
        <is>
          <t>希華(2484)</t>
        </is>
      </c>
      <c r="E76" s="33" t="n">
        <v>64342</v>
      </c>
      <c r="F76" t="inlineStr">
        <is>
          <t>矽統(2363)</t>
        </is>
      </c>
      <c r="G76" s="33" t="n">
        <v>39390</v>
      </c>
      <c r="H76" t="inlineStr">
        <is>
          <t>凱美(2375)</t>
        </is>
      </c>
      <c r="I76" s="33" t="n">
        <v>34661</v>
      </c>
      <c r="J76" s="202" t="n">
        <v>0.4359946947095165</v>
      </c>
    </row>
    <row r="77">
      <c r="B77" s="51" t="inlineStr">
        <is>
          <t>陳律師</t>
        </is>
      </c>
      <c r="C77" s="33" t="n">
        <v>296808</v>
      </c>
      <c r="D77" t="inlineStr">
        <is>
          <t>智邦(2345)</t>
        </is>
      </c>
      <c r="E77" s="33" t="n">
        <v>34034</v>
      </c>
      <c r="F77" t="inlineStr">
        <is>
          <t>緯穎(6669)</t>
        </is>
      </c>
      <c r="G77" s="33" t="n">
        <v>30437</v>
      </c>
      <c r="H77" t="inlineStr">
        <is>
          <t>穎崴(6515)</t>
        </is>
      </c>
      <c r="I77" s="33" t="n">
        <v>17424</v>
      </c>
      <c r="J77" s="202" t="n">
        <v>0.2759184039265735</v>
      </c>
    </row>
    <row r="78">
      <c r="B78" s="52" t="inlineStr">
        <is>
          <t>巨人傑</t>
        </is>
      </c>
      <c r="C78" s="33" t="n">
        <v>156871</v>
      </c>
      <c r="D78" t="inlineStr">
        <is>
          <t>群創(3481)</t>
        </is>
      </c>
      <c r="E78" s="33" t="n">
        <v>39440</v>
      </c>
      <c r="F78" t="inlineStr">
        <is>
          <t>國巨*(2327)</t>
        </is>
      </c>
      <c r="G78" s="33" t="n">
        <v>13909</v>
      </c>
      <c r="H78" t="inlineStr">
        <is>
          <t>合晶(6182)</t>
        </is>
      </c>
      <c r="I78" s="33" t="n">
        <v>13500</v>
      </c>
      <c r="J78" s="202" t="n">
        <v>0.4261440458364171</v>
      </c>
    </row>
    <row r="79">
      <c r="B79" s="53" t="inlineStr">
        <is>
          <t>民哥</t>
        </is>
      </c>
      <c r="C79" s="33" t="n">
        <v>144857</v>
      </c>
      <c r="D79" t="inlineStr">
        <is>
          <t>臻鼎-KY(4958)</t>
        </is>
      </c>
      <c r="E79" s="33" t="n">
        <v>19986</v>
      </c>
      <c r="F79" t="inlineStr">
        <is>
          <t>南亞科(2408)</t>
        </is>
      </c>
      <c r="G79" s="33" t="n">
        <v>14503</v>
      </c>
      <c r="H79" t="inlineStr">
        <is>
          <t>國巨*(2327)</t>
        </is>
      </c>
      <c r="I79" s="33" t="n">
        <v>12761</v>
      </c>
      <c r="J79" s="202" t="n">
        <v>0.3261830632969066</v>
      </c>
    </row>
    <row r="80">
      <c r="B80" s="54" t="inlineStr">
        <is>
          <t>竹科主力分點</t>
        </is>
      </c>
      <c r="C80" s="33" t="n">
        <v>144593</v>
      </c>
      <c r="D80" t="inlineStr">
        <is>
          <t>國巨*(2327)</t>
        </is>
      </c>
      <c r="E80" s="33" t="n">
        <v>12122</v>
      </c>
      <c r="F80" t="inlineStr">
        <is>
          <t>友達(2409)</t>
        </is>
      </c>
      <c r="G80" s="33" t="n">
        <v>11327</v>
      </c>
      <c r="H80" t="inlineStr">
        <is>
          <t>臻鼎-KY(4958)</t>
        </is>
      </c>
      <c r="I80" s="33" t="n">
        <v>10620</v>
      </c>
      <c r="J80" s="202" t="n">
        <v>0.2356199418227489</v>
      </c>
    </row>
    <row r="81">
      <c r="B81" s="55" t="inlineStr">
        <is>
          <t>布哥/n_nchang</t>
        </is>
      </c>
      <c r="C81" s="33" t="n">
        <v>143936</v>
      </c>
      <c r="D81" t="inlineStr">
        <is>
          <t>華邦電(2344)</t>
        </is>
      </c>
      <c r="E81" s="33" t="n">
        <v>23693</v>
      </c>
      <c r="F81" t="inlineStr">
        <is>
          <t>國巨*(2327)</t>
        </is>
      </c>
      <c r="G81" s="33" t="n">
        <v>16210</v>
      </c>
      <c r="H81" t="inlineStr">
        <is>
          <t>南亞科(2408)</t>
        </is>
      </c>
      <c r="I81" s="33" t="n">
        <v>12483</v>
      </c>
      <c r="J81" s="202" t="n">
        <v>0.3639519090148018</v>
      </c>
    </row>
    <row r="82">
      <c r="B82" s="56" t="inlineStr">
        <is>
          <t>大牌分析師</t>
        </is>
      </c>
      <c r="C82" s="33" t="n">
        <v>101771</v>
      </c>
      <c r="D82" t="inlineStr">
        <is>
          <t>景碩(3189)</t>
        </is>
      </c>
      <c r="E82" s="33" t="n">
        <v>12710</v>
      </c>
      <c r="F82" t="inlineStr">
        <is>
          <t>國巨*(2327)</t>
        </is>
      </c>
      <c r="G82" s="33" t="n">
        <v>9022</v>
      </c>
      <c r="H82" t="inlineStr">
        <is>
          <t>臻鼎-KY(4958)</t>
        </is>
      </c>
      <c r="I82" s="33" t="n">
        <v>7925</v>
      </c>
      <c r="J82" s="202" t="n">
        <v>0.291415202425848</v>
      </c>
    </row>
    <row r="83">
      <c r="B83" s="57" t="inlineStr">
        <is>
          <t>Tradow</t>
        </is>
      </c>
      <c r="C83" s="33" t="n">
        <v>67528</v>
      </c>
      <c r="D83" t="inlineStr">
        <is>
          <t>鴻勁(7769)</t>
        </is>
      </c>
      <c r="E83" s="33" t="n">
        <v>6272</v>
      </c>
      <c r="F83" t="inlineStr">
        <is>
          <t>台積電(2330)</t>
        </is>
      </c>
      <c r="G83" s="33" t="n">
        <v>6046</v>
      </c>
      <c r="H83" t="inlineStr">
        <is>
          <t>南亞科(2408)</t>
        </is>
      </c>
      <c r="I83" s="33" t="n">
        <v>5825</v>
      </c>
      <c r="J83" s="202" t="n">
        <v>0.2686795481604777</v>
      </c>
    </row>
    <row r="84">
      <c r="B84" s="58" t="inlineStr">
        <is>
          <t>迷你哥/松山哥</t>
        </is>
      </c>
      <c r="C84" s="33" t="n">
        <v>42195</v>
      </c>
      <c r="D84" t="inlineStr">
        <is>
          <t>聯發科(2454)</t>
        </is>
      </c>
      <c r="E84" s="33" t="n">
        <v>11847</v>
      </c>
      <c r="F84" t="inlineStr">
        <is>
          <t>國泰金(2882)</t>
        </is>
      </c>
      <c r="G84" s="33" t="n">
        <v>7449</v>
      </c>
      <c r="H84" t="inlineStr">
        <is>
          <t>華邦電(2344)</t>
        </is>
      </c>
      <c r="I84" s="33" t="n">
        <v>4407</v>
      </c>
      <c r="J84" s="202" t="n">
        <v>0.561760126271783</v>
      </c>
    </row>
    <row r="86" ht="22" customHeight="1">
      <c r="B86" s="59" t="inlineStr">
        <is>
          <t>▍ G. 注意股 (資料日 20260630)</t>
        </is>
      </c>
    </row>
    <row r="87">
      <c r="B87" s="60" t="inlineStr">
        <is>
          <t>代號</t>
        </is>
      </c>
      <c r="C87" s="60" t="inlineStr">
        <is>
          <t>名稱</t>
        </is>
      </c>
      <c r="D87" s="60" t="inlineStr">
        <is>
          <t>累計次數</t>
        </is>
      </c>
      <c r="E87" s="60" t="inlineStr">
        <is>
          <t>收盤價</t>
        </is>
      </c>
      <c r="F87" s="60" t="inlineStr">
        <is>
          <t>本益比</t>
        </is>
      </c>
    </row>
    <row r="88">
      <c r="B88" t="inlineStr">
        <is>
          <t>059570</t>
        </is>
      </c>
      <c r="C88" t="inlineStr">
        <is>
          <t>強茂凱基5B購03</t>
        </is>
      </c>
      <c r="D88" t="n">
        <v>1</v>
      </c>
      <c r="E88" t="n">
        <v>13.2</v>
      </c>
      <c r="F88" t="inlineStr">
        <is>
          <t>-----</t>
        </is>
      </c>
    </row>
    <row r="89">
      <c r="B89" s="41" t="inlineStr">
        <is>
          <t>1435</t>
        </is>
      </c>
      <c r="C89" s="41" t="inlineStr">
        <is>
          <t>中福</t>
        </is>
      </c>
      <c r="D89" s="41" t="n">
        <v>1</v>
      </c>
      <c r="E89" s="41" t="n">
        <v>27.35</v>
      </c>
      <c r="F89" s="41" t="inlineStr">
        <is>
          <t>-----</t>
        </is>
      </c>
    </row>
    <row r="90">
      <c r="B90" t="inlineStr">
        <is>
          <t>1444</t>
        </is>
      </c>
      <c r="C90" t="inlineStr">
        <is>
          <t>力麗</t>
        </is>
      </c>
      <c r="D90" t="n">
        <v>1</v>
      </c>
      <c r="E90" t="n">
        <v>8.960000000000001</v>
      </c>
      <c r="F90" t="inlineStr">
        <is>
          <t>-----</t>
        </is>
      </c>
    </row>
    <row r="91">
      <c r="B91" s="41" t="inlineStr">
        <is>
          <t>1718</t>
        </is>
      </c>
      <c r="C91" s="41" t="inlineStr">
        <is>
          <t>中纖</t>
        </is>
      </c>
      <c r="D91" s="41" t="n">
        <v>1</v>
      </c>
      <c r="E91" s="41" t="n">
        <v>13.45</v>
      </c>
      <c r="F91" s="41" t="inlineStr">
        <is>
          <t>56.04</t>
        </is>
      </c>
    </row>
    <row r="92">
      <c r="B92" t="inlineStr">
        <is>
          <t>2233</t>
        </is>
      </c>
      <c r="C92" t="inlineStr">
        <is>
          <t>宇隆</t>
        </is>
      </c>
      <c r="D92" t="n">
        <v>1</v>
      </c>
      <c r="E92" t="n">
        <v>212</v>
      </c>
      <c r="F92" t="inlineStr">
        <is>
          <t>33.81</t>
        </is>
      </c>
    </row>
    <row r="93">
      <c r="B93" s="41" t="inlineStr">
        <is>
          <t>2303</t>
        </is>
      </c>
      <c r="C93" s="41" t="inlineStr">
        <is>
          <t>聯電</t>
        </is>
      </c>
      <c r="D93" s="41" t="n">
        <v>1</v>
      </c>
      <c r="E93" s="41" t="n">
        <v>164.5</v>
      </c>
      <c r="F93" s="41" t="inlineStr">
        <is>
          <t>41.33</t>
        </is>
      </c>
    </row>
    <row r="94">
      <c r="B94" t="inlineStr">
        <is>
          <t>2375</t>
        </is>
      </c>
      <c r="C94" t="inlineStr">
        <is>
          <t>凱美</t>
        </is>
      </c>
      <c r="D94" t="n">
        <v>1</v>
      </c>
      <c r="E94" t="n">
        <v>211.5</v>
      </c>
      <c r="F94" t="inlineStr">
        <is>
          <t>64.29</t>
        </is>
      </c>
    </row>
    <row r="95">
      <c r="B95" s="41" t="inlineStr">
        <is>
          <t>2415</t>
        </is>
      </c>
      <c r="C95" s="41" t="inlineStr">
        <is>
          <t>錩新</t>
        </is>
      </c>
      <c r="D95" s="41" t="n">
        <v>1</v>
      </c>
      <c r="E95" s="41" t="n">
        <v>37.5</v>
      </c>
      <c r="F95" s="41" t="inlineStr">
        <is>
          <t>19.53</t>
        </is>
      </c>
    </row>
    <row r="96">
      <c r="B96" t="inlineStr">
        <is>
          <t>2472</t>
        </is>
      </c>
      <c r="C96" t="inlineStr">
        <is>
          <t>立隆電</t>
        </is>
      </c>
      <c r="D96" t="n">
        <v>1</v>
      </c>
      <c r="E96" t="n">
        <v>453.5</v>
      </c>
      <c r="F96" t="inlineStr">
        <is>
          <t>52.43</t>
        </is>
      </c>
    </row>
    <row r="97">
      <c r="B97" s="41" t="inlineStr">
        <is>
          <t>2483</t>
        </is>
      </c>
      <c r="C97" s="41" t="inlineStr">
        <is>
          <t>百容</t>
        </is>
      </c>
      <c r="D97" s="41" t="n">
        <v>1</v>
      </c>
      <c r="E97" s="41" t="n">
        <v>57.1</v>
      </c>
      <c r="F97" s="41" t="inlineStr">
        <is>
          <t>62.07</t>
        </is>
      </c>
    </row>
    <row r="98">
      <c r="B98" t="inlineStr">
        <is>
          <t>2906</t>
        </is>
      </c>
      <c r="C98" t="inlineStr">
        <is>
          <t>高林</t>
        </is>
      </c>
      <c r="D98" t="n">
        <v>1</v>
      </c>
      <c r="E98" t="n">
        <v>14.55</v>
      </c>
      <c r="F98" t="inlineStr">
        <is>
          <t>32.33</t>
        </is>
      </c>
    </row>
    <row r="99">
      <c r="B99" s="41" t="inlineStr">
        <is>
          <t>3016</t>
        </is>
      </c>
      <c r="C99" s="41" t="inlineStr">
        <is>
          <t>嘉晶</t>
        </is>
      </c>
      <c r="D99" s="41" t="n">
        <v>1</v>
      </c>
      <c r="E99" s="41" t="n">
        <v>133.5</v>
      </c>
      <c r="F99" s="41" t="inlineStr">
        <is>
          <t>325.61</t>
        </is>
      </c>
    </row>
    <row r="100">
      <c r="B100" t="inlineStr">
        <is>
          <t>3023</t>
        </is>
      </c>
      <c r="C100" t="inlineStr">
        <is>
          <t>信邦</t>
        </is>
      </c>
      <c r="D100" t="n">
        <v>1</v>
      </c>
      <c r="E100" t="n">
        <v>328.5</v>
      </c>
      <c r="F100" t="inlineStr">
        <is>
          <t>25.72</t>
        </is>
      </c>
    </row>
    <row r="101">
      <c r="B101" s="41" t="inlineStr">
        <is>
          <t>3167</t>
        </is>
      </c>
      <c r="C101" s="41" t="inlineStr">
        <is>
          <t>大量</t>
        </is>
      </c>
      <c r="D101" s="41" t="n">
        <v>1</v>
      </c>
      <c r="E101" s="41" t="n">
        <v>842</v>
      </c>
      <c r="F101" s="41" t="inlineStr">
        <is>
          <t>82.07</t>
        </is>
      </c>
    </row>
    <row r="102">
      <c r="B102" t="inlineStr">
        <is>
          <t>3189</t>
        </is>
      </c>
      <c r="C102" t="inlineStr">
        <is>
          <t>景碩</t>
        </is>
      </c>
      <c r="D102" t="n">
        <v>1</v>
      </c>
      <c r="E102" t="n">
        <v>891</v>
      </c>
      <c r="F102" t="inlineStr">
        <is>
          <t>250.99</t>
        </is>
      </c>
    </row>
    <row r="104" ht="22" customHeight="1">
      <c r="B104" s="4" t="inlineStr">
        <is>
          <t>▍ H. 借券賣出 Top 15 (機構級反向力量, 資料日 20260701)</t>
        </is>
      </c>
    </row>
    <row r="105">
      <c r="B105" s="12" t="inlineStr">
        <is>
          <t>代號</t>
        </is>
      </c>
      <c r="C105" s="12" t="inlineStr">
        <is>
          <t>名稱</t>
        </is>
      </c>
      <c r="D105" s="12" t="inlineStr">
        <is>
          <t>借券張數</t>
        </is>
      </c>
      <c r="E105" s="12" t="inlineStr">
        <is>
          <t>融券張數</t>
        </is>
      </c>
      <c r="F105" s="12" t="inlineStr">
        <is>
          <t>ratio</t>
        </is>
      </c>
    </row>
    <row r="106">
      <c r="B106" s="46" t="inlineStr">
        <is>
          <t>🔴 2887</t>
        </is>
      </c>
      <c r="C106" t="inlineStr">
        <is>
          <t>台新新光金</t>
        </is>
      </c>
      <c r="D106" s="33" t="n">
        <v>13846</v>
      </c>
      <c r="E106" s="33" t="n">
        <v>3</v>
      </c>
      <c r="F106" s="203" t="n">
        <v>4615.33</v>
      </c>
    </row>
    <row r="107">
      <c r="B107" s="41" t="inlineStr">
        <is>
          <t>2891</t>
        </is>
      </c>
      <c r="C107" s="41" t="inlineStr">
        <is>
          <t>中信金</t>
        </is>
      </c>
      <c r="D107" s="62" t="n">
        <v>12974</v>
      </c>
      <c r="E107" s="62" t="n">
        <v>0</v>
      </c>
      <c r="F107" s="41" t="inlineStr">
        <is>
          <t>—</t>
        </is>
      </c>
    </row>
    <row r="108">
      <c r="B108" t="inlineStr">
        <is>
          <t>2890</t>
        </is>
      </c>
      <c r="C108" t="inlineStr">
        <is>
          <t>永豐金</t>
        </is>
      </c>
      <c r="D108" s="33" t="n">
        <v>11153</v>
      </c>
      <c r="E108" s="33" t="n">
        <v>0</v>
      </c>
      <c r="F108" t="inlineStr">
        <is>
          <t>—</t>
        </is>
      </c>
    </row>
    <row r="109">
      <c r="B109" s="47" t="inlineStr">
        <is>
          <t>🔴 3231</t>
        </is>
      </c>
      <c r="C109" s="41" t="inlineStr">
        <is>
          <t>緯創</t>
        </is>
      </c>
      <c r="D109" s="62" t="n">
        <v>11039</v>
      </c>
      <c r="E109" s="62" t="n">
        <v>3</v>
      </c>
      <c r="F109" s="204" t="n">
        <v>3679.67</v>
      </c>
    </row>
    <row r="110">
      <c r="B110" s="46" t="inlineStr">
        <is>
          <t>🔴 2002</t>
        </is>
      </c>
      <c r="C110" t="inlineStr">
        <is>
          <t>中鋼</t>
        </is>
      </c>
      <c r="D110" s="33" t="n">
        <v>8477</v>
      </c>
      <c r="E110" s="33" t="n">
        <v>5</v>
      </c>
      <c r="F110" s="203" t="n">
        <v>1695.4</v>
      </c>
    </row>
    <row r="111">
      <c r="B111" s="41" t="inlineStr">
        <is>
          <t>2344</t>
        </is>
      </c>
      <c r="C111" s="41" t="inlineStr">
        <is>
          <t>華邦電</t>
        </is>
      </c>
      <c r="D111" s="62" t="n">
        <v>7892</v>
      </c>
      <c r="E111" s="62" t="n">
        <v>451</v>
      </c>
      <c r="F111" s="205" t="n">
        <v>17.5</v>
      </c>
    </row>
    <row r="112">
      <c r="B112" t="inlineStr">
        <is>
          <t>1718</t>
        </is>
      </c>
      <c r="C112" t="inlineStr">
        <is>
          <t>中纖</t>
        </is>
      </c>
      <c r="D112" s="33" t="n">
        <v>7786</v>
      </c>
      <c r="E112" s="33" t="n">
        <v>437</v>
      </c>
      <c r="F112" s="206" t="n">
        <v>17.82</v>
      </c>
    </row>
    <row r="113">
      <c r="B113" s="47" t="inlineStr">
        <is>
          <t>🔴 1101</t>
        </is>
      </c>
      <c r="C113" s="41" t="inlineStr">
        <is>
          <t>台泥</t>
        </is>
      </c>
      <c r="D113" s="62" t="n">
        <v>7348</v>
      </c>
      <c r="E113" s="62" t="n">
        <v>2</v>
      </c>
      <c r="F113" s="204" t="n">
        <v>3674</v>
      </c>
    </row>
    <row r="114">
      <c r="B114" s="46" t="inlineStr">
        <is>
          <t>🔴 0056</t>
        </is>
      </c>
      <c r="C114" t="inlineStr">
        <is>
          <t>元大高股息</t>
        </is>
      </c>
      <c r="D114" s="33" t="n">
        <v>7238</v>
      </c>
      <c r="E114" s="33" t="n">
        <v>4</v>
      </c>
      <c r="F114" s="203" t="n">
        <v>1809.5</v>
      </c>
    </row>
    <row r="115">
      <c r="B115" s="41" t="inlineStr">
        <is>
          <t>2317</t>
        </is>
      </c>
      <c r="C115" s="41" t="inlineStr">
        <is>
          <t>鴻海</t>
        </is>
      </c>
      <c r="D115" s="62" t="n">
        <v>6334</v>
      </c>
      <c r="E115" s="62" t="n">
        <v>0</v>
      </c>
      <c r="F115" s="41" t="inlineStr">
        <is>
          <t>—</t>
        </is>
      </c>
    </row>
    <row r="116">
      <c r="B116" s="46" t="inlineStr">
        <is>
          <t>🔴 2886</t>
        </is>
      </c>
      <c r="C116" t="inlineStr">
        <is>
          <t>兆豐金</t>
        </is>
      </c>
      <c r="D116" s="33" t="n">
        <v>6035</v>
      </c>
      <c r="E116" s="33" t="n">
        <v>5</v>
      </c>
      <c r="F116" s="203" t="n">
        <v>1207</v>
      </c>
    </row>
    <row r="117">
      <c r="B117" s="41" t="inlineStr">
        <is>
          <t>2312</t>
        </is>
      </c>
      <c r="C117" s="41" t="inlineStr">
        <is>
          <t>金寶</t>
        </is>
      </c>
      <c r="D117" s="62" t="n">
        <v>5782</v>
      </c>
      <c r="E117" s="62" t="n">
        <v>74</v>
      </c>
      <c r="F117" s="205" t="n">
        <v>78.14</v>
      </c>
    </row>
    <row r="118">
      <c r="B118" t="inlineStr">
        <is>
          <t>2892</t>
        </is>
      </c>
      <c r="C118" t="inlineStr">
        <is>
          <t>第一金</t>
        </is>
      </c>
      <c r="D118" s="33" t="n">
        <v>5366</v>
      </c>
      <c r="E118" s="33" t="n">
        <v>278</v>
      </c>
      <c r="F118" s="206" t="n">
        <v>19.3</v>
      </c>
    </row>
    <row r="119">
      <c r="B119" s="41" t="inlineStr">
        <is>
          <t>9904</t>
        </is>
      </c>
      <c r="C119" s="41" t="inlineStr">
        <is>
          <t>寶成</t>
        </is>
      </c>
      <c r="D119" s="62" t="n">
        <v>5179</v>
      </c>
      <c r="E119" s="62" t="n">
        <v>0</v>
      </c>
      <c r="F119" s="41" t="inlineStr">
        <is>
          <t>—</t>
        </is>
      </c>
    </row>
    <row r="120">
      <c r="B120" t="inlineStr">
        <is>
          <t>2489</t>
        </is>
      </c>
      <c r="C120" t="inlineStr">
        <is>
          <t>瑞軒</t>
        </is>
      </c>
      <c r="D120" s="33" t="n">
        <v>5112</v>
      </c>
      <c r="E120" s="33" t="n">
        <v>602</v>
      </c>
      <c r="F120" s="206" t="n">
        <v>8.49</v>
      </c>
    </row>
    <row r="122" ht="22" customHeight="1">
      <c r="B122" s="65" t="inlineStr">
        <is>
          <t>▍ I. 未來 30 天除權息 (有效 260 檔, 已剔除過期)</t>
        </is>
      </c>
    </row>
    <row r="123">
      <c r="B123" s="60" t="inlineStr">
        <is>
          <t>除權息日</t>
        </is>
      </c>
      <c r="C123" s="60" t="inlineStr">
        <is>
          <t>代號</t>
        </is>
      </c>
      <c r="D123" s="60" t="inlineStr">
        <is>
          <t>名稱</t>
        </is>
      </c>
      <c r="E123" s="60" t="inlineStr">
        <is>
          <t>類型</t>
        </is>
      </c>
      <c r="F123" s="60" t="inlineStr">
        <is>
          <t>現金股利</t>
        </is>
      </c>
    </row>
    <row r="124">
      <c r="B124" t="inlineStr">
        <is>
          <t>20260701</t>
        </is>
      </c>
      <c r="C124" t="inlineStr">
        <is>
          <t>1101</t>
        </is>
      </c>
      <c r="D124" t="inlineStr">
        <is>
          <t>台泥</t>
        </is>
      </c>
      <c r="E124" t="inlineStr">
        <is>
          <t>息</t>
        </is>
      </c>
      <c r="F124" t="n">
        <v>0.8</v>
      </c>
    </row>
    <row r="125">
      <c r="B125" s="41" t="inlineStr">
        <is>
          <t>20260701</t>
        </is>
      </c>
      <c r="C125" s="41" t="inlineStr">
        <is>
          <t>1101B</t>
        </is>
      </c>
      <c r="D125" s="41" t="inlineStr">
        <is>
          <t>台泥乙特</t>
        </is>
      </c>
      <c r="E125" s="41" t="inlineStr">
        <is>
          <t>息</t>
        </is>
      </c>
      <c r="F125" s="41" t="n">
        <v>2.02625</v>
      </c>
    </row>
    <row r="126">
      <c r="B126" t="inlineStr">
        <is>
          <t>20260701</t>
        </is>
      </c>
      <c r="C126" t="inlineStr">
        <is>
          <t>1470</t>
        </is>
      </c>
      <c r="D126" t="inlineStr">
        <is>
          <t>大統新創</t>
        </is>
      </c>
      <c r="E126" t="inlineStr">
        <is>
          <t>息</t>
        </is>
      </c>
      <c r="F126" t="n">
        <v>0.65</v>
      </c>
    </row>
    <row r="127">
      <c r="B127" s="41" t="inlineStr">
        <is>
          <t>20260701</t>
        </is>
      </c>
      <c r="C127" s="41" t="inlineStr">
        <is>
          <t>1725</t>
        </is>
      </c>
      <c r="D127" s="41" t="inlineStr">
        <is>
          <t>元禎</t>
        </is>
      </c>
      <c r="E127" s="41" t="inlineStr">
        <is>
          <t>息</t>
        </is>
      </c>
      <c r="F127" s="41" t="n">
        <v>1.07</v>
      </c>
    </row>
    <row r="128">
      <c r="B128" t="inlineStr">
        <is>
          <t>20260701</t>
        </is>
      </c>
      <c r="C128" t="inlineStr">
        <is>
          <t>2302</t>
        </is>
      </c>
      <c r="D128" t="inlineStr">
        <is>
          <t>麗正</t>
        </is>
      </c>
      <c r="E128" t="inlineStr">
        <is>
          <t>息</t>
        </is>
      </c>
      <c r="F128" t="n">
        <v>0.35</v>
      </c>
    </row>
    <row r="129">
      <c r="B129" s="41" t="inlineStr">
        <is>
          <t>20260701</t>
        </is>
      </c>
      <c r="C129" s="41" t="inlineStr">
        <is>
          <t>2357</t>
        </is>
      </c>
      <c r="D129" s="41" t="inlineStr">
        <is>
          <t>華碩</t>
        </is>
      </c>
      <c r="E129" s="41" t="inlineStr">
        <is>
          <t>息</t>
        </is>
      </c>
      <c r="F129" s="41" t="n">
        <v>42</v>
      </c>
    </row>
    <row r="130">
      <c r="B130" t="inlineStr">
        <is>
          <t>20260701</t>
        </is>
      </c>
      <c r="C130" t="inlineStr">
        <is>
          <t>2881</t>
        </is>
      </c>
      <c r="D130" t="inlineStr">
        <is>
          <t>富邦金</t>
        </is>
      </c>
      <c r="E130" t="inlineStr">
        <is>
          <t>息</t>
        </is>
      </c>
      <c r="F130" t="n">
        <v>4.25</v>
      </c>
    </row>
    <row r="131">
      <c r="B131" s="41" t="inlineStr">
        <is>
          <t>20260701</t>
        </is>
      </c>
      <c r="C131" s="41" t="inlineStr">
        <is>
          <t>2881A</t>
        </is>
      </c>
      <c r="D131" s="41" t="inlineStr">
        <is>
          <t>富邦特</t>
        </is>
      </c>
      <c r="E131" s="41" t="inlineStr">
        <is>
          <t>息</t>
        </is>
      </c>
      <c r="F131" s="41" t="n">
        <v>2.74875</v>
      </c>
    </row>
    <row r="132">
      <c r="B132" t="inlineStr">
        <is>
          <t>20260701</t>
        </is>
      </c>
      <c r="C132" t="inlineStr">
        <is>
          <t>2881B</t>
        </is>
      </c>
      <c r="D132" t="inlineStr">
        <is>
          <t>富邦金乙特</t>
        </is>
      </c>
      <c r="E132" t="inlineStr">
        <is>
          <t>息</t>
        </is>
      </c>
      <c r="F132" t="n">
        <v>2.572356</v>
      </c>
    </row>
    <row r="133">
      <c r="B133" s="41" t="inlineStr">
        <is>
          <t>20260701</t>
        </is>
      </c>
      <c r="C133" s="41" t="inlineStr">
        <is>
          <t>2881C</t>
        </is>
      </c>
      <c r="D133" s="41" t="inlineStr">
        <is>
          <t>富邦金丙特</t>
        </is>
      </c>
      <c r="E133" s="41" t="inlineStr">
        <is>
          <t>息</t>
        </is>
      </c>
      <c r="F133" s="41" t="n">
        <v>1.8</v>
      </c>
    </row>
    <row r="134">
      <c r="B134" t="inlineStr">
        <is>
          <t>20260701</t>
        </is>
      </c>
      <c r="C134" t="inlineStr">
        <is>
          <t>2884</t>
        </is>
      </c>
      <c r="D134" t="inlineStr">
        <is>
          <t>玉山金</t>
        </is>
      </c>
      <c r="E134" t="inlineStr">
        <is>
          <t>息</t>
        </is>
      </c>
      <c r="F134" t="n">
        <v>1.4</v>
      </c>
    </row>
    <row r="135">
      <c r="B135" s="41" t="inlineStr">
        <is>
          <t>20260701</t>
        </is>
      </c>
      <c r="C135" s="41" t="inlineStr">
        <is>
          <t>2887E</t>
        </is>
      </c>
      <c r="D135" s="41" t="inlineStr">
        <is>
          <t>台新新光戊特一</t>
        </is>
      </c>
      <c r="E135" s="41" t="inlineStr">
        <is>
          <t>息</t>
        </is>
      </c>
      <c r="F135" s="41" t="n">
        <v>2.43625</v>
      </c>
    </row>
    <row r="136">
      <c r="B136" t="inlineStr">
        <is>
          <t>20260701</t>
        </is>
      </c>
      <c r="C136" t="inlineStr">
        <is>
          <t>2887F</t>
        </is>
      </c>
      <c r="D136" t="inlineStr">
        <is>
          <t>台新新光戊特二</t>
        </is>
      </c>
      <c r="E136" t="inlineStr">
        <is>
          <t>息</t>
        </is>
      </c>
      <c r="F136" t="n">
        <v>1.933601</v>
      </c>
    </row>
    <row r="137">
      <c r="B137" s="41" t="inlineStr">
        <is>
          <t>20260701</t>
        </is>
      </c>
      <c r="C137" s="41" t="inlineStr">
        <is>
          <t>2887G</t>
        </is>
      </c>
      <c r="D137" s="41" t="inlineStr">
        <is>
          <t>台新新光庚特一</t>
        </is>
      </c>
      <c r="E137" s="41" t="inlineStr">
        <is>
          <t>息</t>
        </is>
      </c>
      <c r="F137" s="41" t="n">
        <v>1.71</v>
      </c>
    </row>
    <row r="138">
      <c r="B138" t="inlineStr">
        <is>
          <t>20260701</t>
        </is>
      </c>
      <c r="C138" t="inlineStr">
        <is>
          <t>2887H</t>
        </is>
      </c>
      <c r="D138" t="inlineStr">
        <is>
          <t>台新新光庚特二</t>
        </is>
      </c>
      <c r="E138" t="inlineStr">
        <is>
          <t>息</t>
        </is>
      </c>
      <c r="F138" t="n">
        <v>1.8</v>
      </c>
    </row>
  </sheetData>
  <mergeCells count="28">
    <mergeCell ref="B9:N9"/>
    <mergeCell ref="B33:N33"/>
    <mergeCell ref="B36:E36"/>
    <mergeCell ref="B4:N4"/>
    <mergeCell ref="B7:N7"/>
    <mergeCell ref="C31:D31"/>
    <mergeCell ref="B3:N3"/>
    <mergeCell ref="B6:J6"/>
    <mergeCell ref="B30:J30"/>
    <mergeCell ref="B57:F57"/>
    <mergeCell ref="B104:J104"/>
    <mergeCell ref="G32:I32"/>
    <mergeCell ref="B86:J86"/>
    <mergeCell ref="B70:J70"/>
    <mergeCell ref="B45:J45"/>
    <mergeCell ref="G31:I31"/>
    <mergeCell ref="B12:N12"/>
    <mergeCell ref="B11:N11"/>
    <mergeCell ref="B2:N2"/>
    <mergeCell ref="F36:I36"/>
    <mergeCell ref="B14:N14"/>
    <mergeCell ref="B59:J59"/>
    <mergeCell ref="C32:D32"/>
    <mergeCell ref="B8:N8"/>
    <mergeCell ref="B13:N13"/>
    <mergeCell ref="B122:J122"/>
    <mergeCell ref="B34:N34"/>
    <mergeCell ref="B10:N10"/>
  </mergeCells>
  <conditionalFormatting sqref="N16:N28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6:E28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38:D42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38:H42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61:D68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61:E68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72:C84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72:J84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88:D102">
    <cfRule type="dataBar" priority="9">
      <dataBar minLength="5" maxLength="90" showValue="1">
        <cfvo type="min"/>
        <cfvo type="max"/>
        <color rgb="FFFFB300"/>
      </dataBar>
    </cfRule>
  </conditionalFormatting>
  <conditionalFormatting sqref="D106:D120">
    <cfRule type="dataBar" priority="10">
      <dataBar minLength="5" maxLength="90" showValue="1">
        <cfvo type="min"/>
        <cfvo type="max"/>
        <color rgb="FFEF5350"/>
      </dataBar>
    </cfRule>
  </conditionalFormatting>
  <conditionalFormatting sqref="F106:F120">
    <cfRule type="dataBar" priority="11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3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2" max="2"/>
    <col width="38" customWidth="1" min="3" max="3"/>
    <col width="2" customWidth="1" min="4" max="4"/>
  </cols>
  <sheetData>
    <row r="2">
      <c r="C2" s="66" t="inlineStr">
        <is>
          <t>📋 Chip Radar · 2026/07/01</t>
        </is>
      </c>
    </row>
    <row r="4">
      <c r="C4" s="67" t="inlineStr">
        <is>
          <t>📅 明日預測</t>
        </is>
      </c>
    </row>
    <row r="5" ht="24" customHeight="1">
      <c r="C5" s="68" t="inlineStr">
        <is>
          <t>↕ 中性 58.7%</t>
        </is>
      </c>
    </row>
    <row r="7">
      <c r="C7" s="67" t="inlineStr">
        <is>
          <t>🎯 強共識買超 Top 5</t>
        </is>
      </c>
    </row>
    <row r="8">
      <c r="C8" s="69" t="inlineStr">
        <is>
          <t>① 國巨* (2327) · 11 大戶</t>
        </is>
      </c>
    </row>
    <row r="9">
      <c r="C9" s="69" t="inlineStr">
        <is>
          <t>② 臻鼎-KY (4958) · 11 大戶</t>
        </is>
      </c>
    </row>
    <row r="10">
      <c r="C10" s="69" t="inlineStr">
        <is>
          <t>③ 景碩 (3189) · 11 大戶</t>
        </is>
      </c>
    </row>
    <row r="11">
      <c r="C11" s="69" t="inlineStr">
        <is>
          <t>④ 鴻海 (2317) · 13 大戶</t>
        </is>
      </c>
    </row>
    <row r="12">
      <c r="C12" s="69" t="inlineStr">
        <is>
          <t>⑤ 華邦電 (2344) · 13 大戶</t>
        </is>
      </c>
    </row>
    <row r="14">
      <c r="C14" s="67" t="inlineStr">
        <is>
          <t>📊 共識集中產業</t>
        </is>
      </c>
    </row>
    <row r="15">
      <c r="C15" s="69" t="inlineStr">
        <is>
          <t>半導體業 · 6 檔 (46%)</t>
        </is>
      </c>
    </row>
    <row r="16">
      <c r="C16" s="69" t="inlineStr">
        <is>
          <t>電子零組件業 · 2 檔 (15%)</t>
        </is>
      </c>
    </row>
    <row r="17">
      <c r="C17" s="69" t="inlineStr">
        <is>
          <t>其他電子業 · 1 檔 (8%)</t>
        </is>
      </c>
    </row>
    <row r="19">
      <c r="C19" s="67" t="inlineStr">
        <is>
          <t>📌 大牌分析師 今日 Top 3</t>
        </is>
      </c>
    </row>
    <row r="20">
      <c r="C20" s="69" t="inlineStr">
        <is>
          <t>景碩 (3189) · 12,710 萬 (★共識)</t>
        </is>
      </c>
    </row>
    <row r="21">
      <c r="C21" s="69" t="inlineStr">
        <is>
          <t>國巨* (2327) · 9,022 萬 (★共識)</t>
        </is>
      </c>
    </row>
    <row r="22">
      <c r="C22" s="69" t="inlineStr">
        <is>
          <t>臻鼎-KY (4958) · 7,925 萬 (★共識)</t>
        </is>
      </c>
    </row>
    <row r="24">
      <c r="C24" s="67" t="inlineStr">
        <is>
          <t>🚫 今日避開</t>
        </is>
      </c>
    </row>
    <row r="25">
      <c r="C25" s="69" t="inlineStr">
        <is>
          <t>除權息 27 檔 (1101 / 1101B / 1470 ...)</t>
        </is>
      </c>
    </row>
    <row r="26">
      <c r="C26" s="69" t="inlineStr">
        <is>
          <t>明日恐處置 1 檔 (2303)</t>
        </is>
      </c>
    </row>
    <row r="28">
      <c r="C28" s="67" t="inlineStr">
        <is>
          <t>📊 追蹤池方向</t>
        </is>
      </c>
    </row>
    <row r="29" ht="22" customHeight="1">
      <c r="C29" s="70" t="inlineStr">
        <is>
          <t>-69 億 淨買</t>
        </is>
      </c>
    </row>
    <row r="30">
      <c r="C30" s="71" t="inlineStr">
        <is>
          <t>比昨 +26 擴空 / 比 5d -190 偏強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2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6" customWidth="1" min="4" max="4"/>
    <col width="18" customWidth="1" min="5" max="5"/>
    <col width="10" customWidth="1" min="6" max="6"/>
    <col width="8" customWidth="1" min="7" max="7"/>
    <col width="10" customWidth="1" min="8" max="8"/>
    <col width="10" customWidth="1" min="9" max="9"/>
    <col width="40" customWidth="1" min="10" max="10"/>
  </cols>
  <sheetData>
    <row r="2" ht="22" customHeight="1">
      <c r="B2" s="72" t="inlineStr">
        <is>
          <t>📈 Quad 實戰追蹤 (Phase 3.2 三訊號)</t>
        </is>
      </c>
    </row>
    <row r="3" ht="18" customHeight="1">
      <c r="B3" s="73" t="inlineStr">
        <is>
          <t>累積: 30/38 = 79.0% (mean +4.37%)   |  30d: 11/17 = 64.7%  |  預期 78.9% (delta +0.0pp)</t>
        </is>
      </c>
    </row>
    <row r="5" ht="22" customHeight="1">
      <c r="B5" s="74" t="inlineStr">
        <is>
          <t>日期</t>
        </is>
      </c>
      <c r="C5" s="74" t="inlineStr">
        <is>
          <t>隔日</t>
        </is>
      </c>
      <c r="D5" s="74" t="inlineStr">
        <is>
          <t>Q5</t>
        </is>
      </c>
      <c r="E5" s="74" t="inlineStr">
        <is>
          <t>Vol_spike masters</t>
        </is>
      </c>
      <c r="F5" s="74" t="inlineStr">
        <is>
          <t>picks</t>
        </is>
      </c>
      <c r="G5" s="74" t="inlineStr">
        <is>
          <t>hits</t>
        </is>
      </c>
      <c r="H5" s="74" t="inlineStr">
        <is>
          <t>命中率</t>
        </is>
      </c>
      <c r="I5" s="74" t="inlineStr">
        <is>
          <t>mean%</t>
        </is>
      </c>
      <c r="J5" s="74" t="inlineStr">
        <is>
          <t>備註 (前 3 picks)</t>
        </is>
      </c>
    </row>
    <row r="6">
      <c r="B6" s="75" t="inlineStr">
        <is>
          <t>2026/06/18</t>
        </is>
      </c>
      <c r="C6" s="75" t="inlineStr">
        <is>
          <t>06/22</t>
        </is>
      </c>
      <c r="D6" s="76" t="inlineStr">
        <is>
          <t>偏多</t>
        </is>
      </c>
      <c r="E6" s="71" t="inlineStr">
        <is>
          <t>張濬安(航海王), 強森, 蔣承翰</t>
        </is>
      </c>
      <c r="F6" s="75" t="n">
        <v>9</v>
      </c>
      <c r="G6" s="77" t="n">
        <v>6</v>
      </c>
      <c r="H6" s="207" t="n">
        <v>66.67</v>
      </c>
      <c r="I6" s="208" t="n">
        <v>2.69</v>
      </c>
      <c r="J6" s="71" t="inlineStr">
        <is>
          <t>群聯(8299) +2.0% / 聯發科(2454) +1.7% / 鴻海(2317) +0.0% +6</t>
        </is>
      </c>
    </row>
    <row r="7">
      <c r="B7" s="75" t="inlineStr">
        <is>
          <t>2026/06/16</t>
        </is>
      </c>
      <c r="C7" s="75" t="inlineStr">
        <is>
          <t>06/17</t>
        </is>
      </c>
      <c r="D7" s="76" t="inlineStr">
        <is>
          <t>偏多</t>
        </is>
      </c>
      <c r="E7" s="71" t="inlineStr">
        <is>
          <t>強森, 陳律師</t>
        </is>
      </c>
      <c r="F7" s="75" t="n">
        <v>8</v>
      </c>
      <c r="G7" s="77" t="n">
        <v>5</v>
      </c>
      <c r="H7" s="207" t="n">
        <v>62.5</v>
      </c>
      <c r="I7" s="208" t="n">
        <v>3.83</v>
      </c>
      <c r="J7" s="71" t="inlineStr">
        <is>
          <t>國巨*(2327) +3.6% / 貿聯-KY(3665) -1.4% / 玉晶光(3406) -3.0% +5</t>
        </is>
      </c>
    </row>
    <row r="8">
      <c r="B8" s="75" t="inlineStr">
        <is>
          <t>2026/05/22</t>
        </is>
      </c>
      <c r="C8" s="75" t="inlineStr">
        <is>
          <t>05/25</t>
        </is>
      </c>
      <c r="D8" s="76" t="inlineStr">
        <is>
          <t>偏多</t>
        </is>
      </c>
      <c r="E8" s="71" t="inlineStr">
        <is>
          <t xml:space="preserve">Tradow, 蔣承翰, 陳律師, </t>
        </is>
      </c>
      <c r="F8" s="75" t="n">
        <v>6</v>
      </c>
      <c r="G8" s="80" t="n">
        <v>5</v>
      </c>
      <c r="H8" s="209" t="n">
        <v>83.33</v>
      </c>
      <c r="I8" s="208" t="n">
        <v>5.22</v>
      </c>
      <c r="J8" s="71" t="inlineStr">
        <is>
          <t>頎邦(6147) +10.0% / 第一金(2892) +0.2% / 永豐金(2890) -0.5% +3</t>
        </is>
      </c>
    </row>
    <row r="9">
      <c r="B9" s="75" t="inlineStr">
        <is>
          <t>2026/05/21</t>
        </is>
      </c>
      <c r="C9" s="75" t="inlineStr">
        <is>
          <t>05/22</t>
        </is>
      </c>
      <c r="D9" s="76" t="inlineStr">
        <is>
          <t>偏多</t>
        </is>
      </c>
      <c r="E9" s="71" t="inlineStr">
        <is>
          <t>陳律師</t>
        </is>
      </c>
      <c r="F9" s="75" t="n">
        <v>6</v>
      </c>
      <c r="G9" s="80" t="n">
        <v>6</v>
      </c>
      <c r="H9" s="209" t="n">
        <v>100</v>
      </c>
      <c r="I9" s="208" t="n">
        <v>6.36</v>
      </c>
      <c r="J9" s="71" t="inlineStr">
        <is>
          <t>創意(3443) +1.5% / 台積電(2330) +1.1% / 旺宏(2337) +6.0% +3</t>
        </is>
      </c>
    </row>
    <row r="10">
      <c r="B10" s="75" t="inlineStr">
        <is>
          <t>2026/05/20</t>
        </is>
      </c>
      <c r="C10" s="75" t="inlineStr">
        <is>
          <t>05/21</t>
        </is>
      </c>
      <c r="D10" s="76" t="inlineStr">
        <is>
          <t>偏多</t>
        </is>
      </c>
      <c r="E10" s="71" t="inlineStr">
        <is>
          <t>竹科主力分點</t>
        </is>
      </c>
      <c r="F10" s="75" t="n">
        <v>9</v>
      </c>
      <c r="G10" s="80" t="n">
        <v>8</v>
      </c>
      <c r="H10" s="209" t="n">
        <v>88.89</v>
      </c>
      <c r="I10" s="208" t="n">
        <v>4.65</v>
      </c>
      <c r="J10" s="71" t="inlineStr">
        <is>
          <t>群聯(8299) +3.1% / 台積電(2330) +2.1% / 啟��(6285) +0.5% +6</t>
        </is>
      </c>
    </row>
    <row r="12">
      <c r="B12" s="82" t="inlineStr">
        <is>
          <t>Per-Master Vol_Spike 可靠度 (排序 by 命中率)</t>
        </is>
      </c>
    </row>
    <row r="13">
      <c r="B13" s="74" t="inlineStr">
        <is>
          <t>Master</t>
        </is>
      </c>
      <c r="C13" s="74" t="inlineStr">
        <is>
          <t>trigger days</t>
        </is>
      </c>
      <c r="D13" s="74" t="inlineStr">
        <is>
          <t>all picks</t>
        </is>
      </c>
      <c r="E13" s="74" t="inlineStr">
        <is>
          <t>hits</t>
        </is>
      </c>
      <c r="F13" s="74" t="inlineStr">
        <is>
          <t>命中率</t>
        </is>
      </c>
      <c r="G13" s="74" t="inlineStr">
        <is>
          <t>mean%</t>
        </is>
      </c>
    </row>
    <row r="14">
      <c r="B14" s="75" t="inlineStr">
        <is>
          <t>竹科主力分點</t>
        </is>
      </c>
      <c r="C14" s="83" t="n">
        <v>1</v>
      </c>
      <c r="D14" s="83" t="n">
        <v>9</v>
      </c>
      <c r="E14" s="83" t="n">
        <v>8</v>
      </c>
      <c r="F14" s="210" t="n">
        <v>88.88888888888889</v>
      </c>
      <c r="G14" s="208" t="n">
        <v>4.650000000000001</v>
      </c>
    </row>
    <row r="15">
      <c r="B15" s="75" t="inlineStr">
        <is>
          <t>陳族元</t>
        </is>
      </c>
      <c r="C15" s="83" t="n">
        <v>1</v>
      </c>
      <c r="D15" s="83" t="n">
        <v>6</v>
      </c>
      <c r="E15" s="83" t="n">
        <v>5</v>
      </c>
      <c r="F15" s="210" t="n">
        <v>83.33333333333334</v>
      </c>
      <c r="G15" s="208" t="n">
        <v>5.22</v>
      </c>
    </row>
    <row r="16">
      <c r="B16" s="75" t="inlineStr">
        <is>
          <t>陳律師</t>
        </is>
      </c>
      <c r="C16" s="83" t="n">
        <v>3</v>
      </c>
      <c r="D16" s="83" t="n">
        <v>18</v>
      </c>
      <c r="E16" s="83" t="n">
        <v>14</v>
      </c>
      <c r="F16" s="211" t="n">
        <v>77.77777777777779</v>
      </c>
      <c r="G16" s="208" t="n">
        <v>4.895</v>
      </c>
    </row>
    <row r="17">
      <c r="B17" s="75" t="inlineStr">
        <is>
          <t>蔣承翰</t>
        </is>
      </c>
      <c r="C17" s="83" t="n">
        <v>2</v>
      </c>
      <c r="D17" s="83" t="n">
        <v>8</v>
      </c>
      <c r="E17" s="83" t="n">
        <v>6</v>
      </c>
      <c r="F17" s="211" t="n">
        <v>75</v>
      </c>
      <c r="G17" s="208" t="n">
        <v>3.7425</v>
      </c>
    </row>
    <row r="18">
      <c r="B18" s="75" t="inlineStr">
        <is>
          <t>Tradow</t>
        </is>
      </c>
      <c r="C18" s="83" t="n">
        <v>1</v>
      </c>
      <c r="D18" s="83" t="n">
        <v>3</v>
      </c>
      <c r="E18" s="83" t="n">
        <v>2</v>
      </c>
      <c r="F18" s="211" t="n">
        <v>66.66666666666666</v>
      </c>
      <c r="G18" s="208" t="n">
        <v>3.836666666666667</v>
      </c>
    </row>
    <row r="19">
      <c r="B19" s="75" t="inlineStr">
        <is>
          <t>張濬安(航海王)</t>
        </is>
      </c>
      <c r="C19" s="83" t="n">
        <v>1</v>
      </c>
      <c r="D19" s="83" t="n">
        <v>9</v>
      </c>
      <c r="E19" s="83" t="n">
        <v>6</v>
      </c>
      <c r="F19" s="211" t="n">
        <v>66.66666666666666</v>
      </c>
      <c r="G19" s="208" t="n">
        <v>2.692222222222222</v>
      </c>
    </row>
    <row r="20">
      <c r="B20" s="75" t="inlineStr">
        <is>
          <t>強森</t>
        </is>
      </c>
      <c r="C20" s="83" t="n">
        <v>2</v>
      </c>
      <c r="D20" s="83" t="n">
        <v>16</v>
      </c>
      <c r="E20" s="83" t="n">
        <v>10</v>
      </c>
      <c r="F20" s="211" t="n">
        <v>62.5</v>
      </c>
      <c r="G20" s="208" t="n">
        <v>3.304375</v>
      </c>
    </row>
    <row r="22" ht="70" customHeight="1">
      <c r="B22" s="86" t="inlineStr">
        <is>
          <t>註: trigger day = Q5 預測偏多 AND ≥1 master 量爆 (&gt;2σ).
     picks = 該日所有共識股 ∩ ≥1 vol_spike master.
     命中率 = 隔日漲幅 &gt; 0 的比例. 預期 78.9% (Phase 3.2 backtest).
     Per-master 命中率 &lt; 整體 → 該 master 訊號偏弱; &gt; 整體 → 訊號偏強.
     注意樣本小 (trigger days &lt; 5) 時, 命中率 noise 偏大.</t>
        </is>
      </c>
    </row>
    <row r="23"/>
    <row r="24"/>
    <row r="25"/>
  </sheetData>
  <mergeCells count="2">
    <mergeCell ref="B22:J25"/>
    <mergeCell ref="B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K20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16" customWidth="1" min="4" max="4"/>
    <col width="10" customWidth="1" min="5" max="5"/>
    <col width="10" customWidth="1" min="6" max="6"/>
    <col width="10" customWidth="1" min="7" max="7"/>
    <col width="8" customWidth="1" min="8" max="8"/>
    <col width="9" customWidth="1" min="9" max="9"/>
    <col width="18" customWidth="1" min="10" max="10"/>
    <col width="32" customWidth="1" min="11" max="11"/>
  </cols>
  <sheetData>
    <row r="2" ht="22" customHeight="1">
      <c r="B2" s="72" t="inlineStr">
        <is>
          <t>📉 Quad 失效歸因 (從失敗學習)</t>
        </is>
      </c>
    </row>
    <row r="3" ht="18" customHeight="1">
      <c r="B3" s="87" t="inlineStr">
        <is>
          <t>miss 8/38 (21.1%) | 預期 miss rate 21.1% | 差異 -0.0pp</t>
        </is>
      </c>
    </row>
    <row r="4" ht="18" customHeight="1">
      <c r="B4" s="88" t="inlineStr">
        <is>
          <t>歸因分布: 個股弱勢 (跑輸大盤 &gt;2pp): 3 | flat close (隔日收 = 今日收, 真實現象): 3 | alpha noise (個股無系統性原因): 1 | TAIEX 資料缺, 歸因不全: 1</t>
        </is>
      </c>
    </row>
    <row r="6" ht="22" customHeight="1">
      <c r="B6" s="89" t="inlineStr">
        <is>
          <t>日期</t>
        </is>
      </c>
      <c r="C6" s="89" t="inlineStr">
        <is>
          <t>隔日</t>
        </is>
      </c>
      <c r="D6" s="89" t="inlineStr">
        <is>
          <t>股票</t>
        </is>
      </c>
      <c r="E6" s="89" t="inlineStr">
        <is>
          <t>漲跌</t>
        </is>
      </c>
      <c r="F6" s="89" t="inlineStr">
        <is>
          <t>TAIEX</t>
        </is>
      </c>
      <c r="G6" s="89" t="inlineStr">
        <is>
          <t>超額</t>
        </is>
      </c>
      <c r="H6" s="89" t="inlineStr">
        <is>
          <t>領頭%</t>
        </is>
      </c>
      <c r="I6" s="89" t="inlineStr">
        <is>
          <t>Q5%</t>
        </is>
      </c>
      <c r="J6" s="89" t="inlineStr">
        <is>
          <t>觸發 master</t>
        </is>
      </c>
      <c r="K6" s="89" t="inlineStr">
        <is>
          <t>歸因</t>
        </is>
      </c>
    </row>
    <row r="7">
      <c r="B7" s="75" t="inlineStr">
        <is>
          <t>2026/06/18</t>
        </is>
      </c>
      <c r="C7" s="75" t="inlineStr">
        <is>
          <t>06/22</t>
        </is>
      </c>
      <c r="D7" s="75" t="inlineStr">
        <is>
          <t>鴻海(2317)</t>
        </is>
      </c>
      <c r="E7" s="212" t="n">
        <v>0</v>
      </c>
      <c r="F7" s="71" t="inlineStr">
        <is>
          <t>N/A</t>
        </is>
      </c>
      <c r="G7" s="71" t="inlineStr">
        <is>
          <t>N/A</t>
        </is>
      </c>
      <c r="H7" s="213" t="n">
        <v>39.5</v>
      </c>
      <c r="I7" s="214" t="n">
        <v>62.1</v>
      </c>
      <c r="J7" s="71" t="inlineStr">
        <is>
          <t>張濬安(航海王), 強森, 蔣承</t>
        </is>
      </c>
      <c r="K7" s="93" t="inlineStr">
        <is>
          <t>flat close (隔日收 = 今日收, 真實現象)</t>
        </is>
      </c>
    </row>
    <row r="8">
      <c r="B8" s="75" t="inlineStr">
        <is>
          <t>2026/06/18</t>
        </is>
      </c>
      <c r="C8" s="75" t="inlineStr">
        <is>
          <t>06/22</t>
        </is>
      </c>
      <c r="D8" s="75" t="inlineStr">
        <is>
          <t>台達電(2308)</t>
        </is>
      </c>
      <c r="E8" s="212" t="n">
        <v>0</v>
      </c>
      <c r="F8" s="71" t="inlineStr">
        <is>
          <t>N/A</t>
        </is>
      </c>
      <c r="G8" s="71" t="inlineStr">
        <is>
          <t>N/A</t>
        </is>
      </c>
      <c r="H8" s="213" t="n">
        <v>39.2</v>
      </c>
      <c r="I8" s="214" t="n">
        <v>62.1</v>
      </c>
      <c r="J8" s="71" t="inlineStr">
        <is>
          <t>張濬安(航海王), 強森</t>
        </is>
      </c>
      <c r="K8" s="93" t="inlineStr">
        <is>
          <t>flat close (隔日收 = 今日收, 真實現象)</t>
        </is>
      </c>
    </row>
    <row r="9">
      <c r="B9" s="75" t="inlineStr">
        <is>
          <t>2026/06/18</t>
        </is>
      </c>
      <c r="C9" s="75" t="inlineStr">
        <is>
          <t>06/22</t>
        </is>
      </c>
      <c r="D9" s="75" t="inlineStr">
        <is>
          <t>華通(2313)</t>
        </is>
      </c>
      <c r="E9" s="212" t="n">
        <v>0</v>
      </c>
      <c r="F9" s="71" t="inlineStr">
        <is>
          <t>N/A</t>
        </is>
      </c>
      <c r="G9" s="71" t="inlineStr">
        <is>
          <t>N/A</t>
        </is>
      </c>
      <c r="H9" s="213" t="n">
        <v>16.7</v>
      </c>
      <c r="I9" s="214" t="n">
        <v>62.1</v>
      </c>
      <c r="J9" s="71" t="inlineStr">
        <is>
          <t>張濬安(航海王), 強森, 蔣承</t>
        </is>
      </c>
      <c r="K9" s="93" t="inlineStr">
        <is>
          <t>flat close (隔日收 = 今日收, 真實現象)</t>
        </is>
      </c>
    </row>
    <row r="10">
      <c r="B10" s="75" t="inlineStr">
        <is>
          <t>2026/06/16</t>
        </is>
      </c>
      <c r="C10" s="75" t="inlineStr">
        <is>
          <t>06/17</t>
        </is>
      </c>
      <c r="D10" s="75" t="inlineStr">
        <is>
          <t>貿聯-KY(3665)</t>
        </is>
      </c>
      <c r="E10" s="212" t="n">
        <v>-1.42</v>
      </c>
      <c r="F10" s="215" t="n">
        <v>0.91</v>
      </c>
      <c r="G10" s="216" t="n">
        <v>-2.33</v>
      </c>
      <c r="H10" s="213" t="n">
        <v>26.8</v>
      </c>
      <c r="I10" s="214" t="n">
        <v>62</v>
      </c>
      <c r="J10" s="71" t="inlineStr">
        <is>
          <t>強森, 陳律師</t>
        </is>
      </c>
      <c r="K10" s="93" t="inlineStr">
        <is>
          <t>個股弱勢 (跑輸大盤 &gt;2pp)</t>
        </is>
      </c>
    </row>
    <row r="11">
      <c r="B11" s="75" t="inlineStr">
        <is>
          <t>2026/06/16</t>
        </is>
      </c>
      <c r="C11" s="75" t="inlineStr">
        <is>
          <t>06/17</t>
        </is>
      </c>
      <c r="D11" s="75" t="inlineStr">
        <is>
          <t>玉晶光(3406)</t>
        </is>
      </c>
      <c r="E11" s="212" t="n">
        <v>-2.96</v>
      </c>
      <c r="F11" s="215" t="n">
        <v>0.91</v>
      </c>
      <c r="G11" s="216" t="n">
        <v>-3.87</v>
      </c>
      <c r="H11" s="213" t="n">
        <v>35.09999999999999</v>
      </c>
      <c r="I11" s="214" t="n">
        <v>62</v>
      </c>
      <c r="J11" s="71" t="inlineStr">
        <is>
          <t>強森, 陳律師</t>
        </is>
      </c>
      <c r="K11" s="93" t="inlineStr">
        <is>
          <t>個股弱勢 (跑輸大盤 &gt;2pp)</t>
        </is>
      </c>
    </row>
    <row r="12">
      <c r="B12" s="75" t="inlineStr">
        <is>
          <t>2026/06/16</t>
        </is>
      </c>
      <c r="C12" s="75" t="inlineStr">
        <is>
          <t>06/17</t>
        </is>
      </c>
      <c r="D12" s="75" t="inlineStr">
        <is>
          <t>力積電(6770)</t>
        </is>
      </c>
      <c r="E12" s="212" t="n">
        <v>-1.13</v>
      </c>
      <c r="F12" s="215" t="n">
        <v>0.91</v>
      </c>
      <c r="G12" s="216" t="n">
        <v>-2.04</v>
      </c>
      <c r="H12" s="213" t="n">
        <v>28</v>
      </c>
      <c r="I12" s="214" t="n">
        <v>62</v>
      </c>
      <c r="J12" s="71" t="inlineStr">
        <is>
          <t>強森, 陳律師</t>
        </is>
      </c>
      <c r="K12" s="93" t="inlineStr">
        <is>
          <t>個股弱勢 (跑輸大盤 &gt;2pp)</t>
        </is>
      </c>
    </row>
    <row r="13">
      <c r="B13" s="75" t="inlineStr">
        <is>
          <t>2026/05/22</t>
        </is>
      </c>
      <c r="C13" s="75" t="inlineStr">
        <is>
          <t>05/25</t>
        </is>
      </c>
      <c r="D13" s="75" t="inlineStr">
        <is>
          <t>永豐金(2890)</t>
        </is>
      </c>
      <c r="E13" s="212" t="n">
        <v>-0.52</v>
      </c>
      <c r="F13" s="71" t="inlineStr">
        <is>
          <t>N/A</t>
        </is>
      </c>
      <c r="G13" s="71" t="inlineStr">
        <is>
          <t>N/A</t>
        </is>
      </c>
      <c r="H13" s="213" t="n">
        <v>18.2</v>
      </c>
      <c r="I13" s="214" t="n">
        <v>72.3</v>
      </c>
      <c r="J13" s="71" t="inlineStr">
        <is>
          <t>Tradow, 陳律師, 陳族元</t>
        </is>
      </c>
      <c r="K13" s="93" t="inlineStr">
        <is>
          <t>TAIEX 資料缺, 歸因不全</t>
        </is>
      </c>
    </row>
    <row r="14">
      <c r="B14" s="75" t="inlineStr">
        <is>
          <t>2026/05/20</t>
        </is>
      </c>
      <c r="C14" s="75" t="inlineStr">
        <is>
          <t>05/21</t>
        </is>
      </c>
      <c r="D14" s="75" t="inlineStr">
        <is>
          <t>第一金(2892)</t>
        </is>
      </c>
      <c r="E14" s="212" t="n">
        <v>-0.18</v>
      </c>
      <c r="F14" s="215" t="n">
        <v>-0.39</v>
      </c>
      <c r="G14" s="217" t="n">
        <v>0.21</v>
      </c>
      <c r="H14" s="213" t="n">
        <v>43.9</v>
      </c>
      <c r="I14" s="214" t="n">
        <v>62</v>
      </c>
      <c r="J14" s="71" t="inlineStr">
        <is>
          <t>竹科主力分點</t>
        </is>
      </c>
      <c r="K14" s="93" t="inlineStr">
        <is>
          <t>alpha noise (個股無系統性原因)</t>
        </is>
      </c>
    </row>
    <row r="17" ht="60" customHeight="1">
      <c r="B17" s="86" t="inlineStr">
        <is>
          <t>歸因分類: flat close = 隔日收盤恰等於今日 (intraday 有波動, TWSE 證實 legit, 非 stale).  TAIEX 整盤跌 = 隔日大盤 ≤-0.5%.  假共識 = 領頭佔比 ≥50%.  個股弱勢 = 跑輸大盤 &gt;2pp.  Q5 borderline = 預測信心 &lt;55%.  alpha noise = 無系統性原因 (真 alpha 命中率本就 ~79%, 隨機 ~21% miss).</t>
        </is>
      </c>
    </row>
    <row r="18"/>
    <row r="19"/>
    <row r="20"/>
  </sheetData>
  <mergeCells count="3">
    <mergeCell ref="B4:K4"/>
    <mergeCell ref="B17:K20"/>
    <mergeCell ref="B3:K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min="1" max="1"/>
    <col width="22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</cols>
  <sheetData>
    <row r="2">
      <c r="B2" s="97" t="inlineStr">
        <is>
          <t>📌 大牌分析師</t>
        </is>
      </c>
    </row>
    <row r="3" ht="28" customHeight="1">
      <c r="B3" s="98" t="inlineStr">
        <is>
          <t>大牌分析師 近 50/50 交易日出手 2419 次 (517 檔), 風格分布: 隔日沖近似 38% / 當沖 13% / 留倉 48%, 漲停命中 5% (其中 🔒鎖漲停 4%), 前 5 大集中 24%, 長線部位 58% (32 檔), ⚠️ 處置股部位 14% (40 檔), 📦 連續囤貨 28 檔 (最長 13 天 009816, 皆已停止)。 主軸: 高頻交易/持續進場/📦 連續囤貨。</t>
        </is>
      </c>
    </row>
    <row r="4" ht="28" customHeight="1"/>
    <row r="6">
      <c r="B6" s="99" t="inlineStr">
        <is>
          <t>全部 picks: n=1461  hit_1d=48%  mean_1d=+0.21%  hit_3d=51%  mean_3d=+0.78%  hit_5d=54%  mean_5d=+2.17%</t>
        </is>
      </c>
    </row>
    <row r="7">
      <c r="B7" s="99" t="inlineStr">
        <is>
          <t>新標的: n=302  hit_1d=48%  mean_1d=+0.25%  hit_3d=49%  mean_3d=+0.96%  hit_5d=52%  mean_5d=+2.36%</t>
        </is>
      </c>
    </row>
    <row r="8">
      <c r="B8" s="99" t="inlineStr">
        <is>
          <t>連續加碼: n=69  hit_1d=48%  mean_1d=+0.87%  hit_3d=52%  mean_3d=-3.16%  hit_5d=59%  mean_5d=+3.86%</t>
        </is>
      </c>
    </row>
    <row r="10">
      <c r="B10" s="100" t="inlineStr">
        <is>
          <t>📊 大牌分析師 今日 Top 10 買進 (跨分點同股合計)</t>
        </is>
      </c>
    </row>
    <row r="11">
      <c r="B11" s="60" t="inlineStr">
        <is>
          <t>#</t>
        </is>
      </c>
      <c r="C11" s="60" t="inlineStr">
        <is>
          <t>代號</t>
        </is>
      </c>
      <c r="D11" s="60" t="inlineStr">
        <is>
          <t>股名</t>
        </is>
      </c>
      <c r="E11" s="60" t="inlineStr">
        <is>
          <t>買金額(萬)</t>
        </is>
      </c>
      <c r="F11" s="60" t="inlineStr">
        <is>
          <t>買張</t>
        </is>
      </c>
      <c r="G11" s="60" t="inlineStr">
        <is>
          <t>漲跌%</t>
        </is>
      </c>
    </row>
    <row r="12">
      <c r="B12" t="n">
        <v>1</v>
      </c>
      <c r="C12" t="inlineStr">
        <is>
          <t>3189</t>
        </is>
      </c>
      <c r="D12" t="inlineStr">
        <is>
          <t>景碩</t>
        </is>
      </c>
      <c r="E12" s="33" t="n">
        <v>12710</v>
      </c>
      <c r="F12" s="33" t="n">
        <v>0</v>
      </c>
      <c r="G12" s="201" t="n">
        <v>-0.0034</v>
      </c>
    </row>
    <row r="13">
      <c r="B13" t="n">
        <v>2</v>
      </c>
      <c r="C13" t="inlineStr">
        <is>
          <t>2327</t>
        </is>
      </c>
      <c r="D13" t="inlineStr">
        <is>
          <t>國巨*</t>
        </is>
      </c>
      <c r="E13" s="33" t="n">
        <v>9022</v>
      </c>
      <c r="F13" s="33" t="n">
        <v>0</v>
      </c>
      <c r="G13" s="218" t="n">
        <v>0</v>
      </c>
    </row>
    <row r="14">
      <c r="B14" t="n">
        <v>3</v>
      </c>
      <c r="C14" t="inlineStr">
        <is>
          <t>4958</t>
        </is>
      </c>
      <c r="D14" t="inlineStr">
        <is>
          <t>臻鼎-KY</t>
        </is>
      </c>
      <c r="E14" s="33" t="n">
        <v>7925</v>
      </c>
      <c r="F14" s="33" t="n">
        <v>0</v>
      </c>
      <c r="G14" s="201" t="n">
        <v>-0.0429</v>
      </c>
    </row>
    <row r="15">
      <c r="B15" t="n">
        <v>4</v>
      </c>
      <c r="C15" t="inlineStr">
        <is>
          <t>2344</t>
        </is>
      </c>
      <c r="D15" t="inlineStr">
        <is>
          <t>華邦電</t>
        </is>
      </c>
      <c r="E15" s="33" t="n">
        <v>6250</v>
      </c>
      <c r="F15" s="33" t="n">
        <v>0</v>
      </c>
      <c r="G15" s="201" t="n">
        <v>-0.0843</v>
      </c>
    </row>
    <row r="16">
      <c r="B16" t="n">
        <v>5</v>
      </c>
      <c r="C16" t="inlineStr">
        <is>
          <t>2408</t>
        </is>
      </c>
      <c r="D16" t="inlineStr">
        <is>
          <t>南亞科</t>
        </is>
      </c>
      <c r="E16" s="33" t="n">
        <v>5787</v>
      </c>
      <c r="F16" s="33" t="n">
        <v>0</v>
      </c>
      <c r="G16" s="201" t="n">
        <v>-0.0696</v>
      </c>
    </row>
    <row r="17">
      <c r="B17" t="n">
        <v>6</v>
      </c>
      <c r="C17" t="inlineStr">
        <is>
          <t>1102</t>
        </is>
      </c>
      <c r="D17" t="inlineStr">
        <is>
          <t>亞泥</t>
        </is>
      </c>
      <c r="E17" s="33" t="n">
        <v>5577</v>
      </c>
      <c r="F17" s="33" t="n">
        <v>0</v>
      </c>
      <c r="G17" s="200" t="n">
        <v>0.0029</v>
      </c>
    </row>
    <row r="18">
      <c r="B18" t="n">
        <v>7</v>
      </c>
      <c r="C18" t="inlineStr">
        <is>
          <t>3036</t>
        </is>
      </c>
      <c r="D18" t="inlineStr">
        <is>
          <t>文曄</t>
        </is>
      </c>
      <c r="E18" s="33" t="n">
        <v>5475</v>
      </c>
      <c r="F18" s="33" t="n">
        <v>0</v>
      </c>
      <c r="G18" s="201" t="n">
        <v>-0.014</v>
      </c>
    </row>
    <row r="19">
      <c r="B19" t="n">
        <v>8</v>
      </c>
      <c r="C19" t="inlineStr">
        <is>
          <t>2409</t>
        </is>
      </c>
      <c r="D19" t="inlineStr">
        <is>
          <t>友達</t>
        </is>
      </c>
      <c r="E19" s="33" t="n">
        <v>4926</v>
      </c>
      <c r="F19" s="33" t="n">
        <v>0</v>
      </c>
      <c r="G19" s="201" t="n">
        <v>-0.06269999999999999</v>
      </c>
    </row>
    <row r="20">
      <c r="B20" t="n">
        <v>9</v>
      </c>
      <c r="C20" t="inlineStr">
        <is>
          <t>2449</t>
        </is>
      </c>
      <c r="D20" t="inlineStr">
        <is>
          <t>京元電子</t>
        </is>
      </c>
      <c r="E20" s="33" t="n">
        <v>4181</v>
      </c>
      <c r="F20" s="33" t="n">
        <v>0</v>
      </c>
      <c r="G20" s="201" t="n">
        <v>-0.0193</v>
      </c>
    </row>
    <row r="21">
      <c r="B21" t="n">
        <v>10</v>
      </c>
      <c r="C21" t="inlineStr">
        <is>
          <t>6274</t>
        </is>
      </c>
      <c r="D21" t="inlineStr">
        <is>
          <t>台燿</t>
        </is>
      </c>
      <c r="E21" s="33" t="n">
        <v>3413</v>
      </c>
      <c r="F21" s="33" t="n">
        <v>0</v>
      </c>
      <c r="G21" s="200" t="n">
        <v>0.006</v>
      </c>
    </row>
    <row r="24">
      <c r="B24" s="100" t="inlineStr">
        <is>
          <t>📦 大牌分析師 連續囤貨 (active)</t>
        </is>
      </c>
    </row>
    <row r="25">
      <c r="B25" s="60" t="inlineStr">
        <is>
          <t>#</t>
        </is>
      </c>
      <c r="C25" s="60" t="inlineStr">
        <is>
          <t>代號</t>
        </is>
      </c>
      <c r="D25" s="60" t="inlineStr">
        <is>
          <t>股名</t>
        </is>
      </c>
      <c r="E25" s="60" t="inlineStr">
        <is>
          <t>連續天數</t>
        </is>
      </c>
      <c r="F25" s="60" t="inlineStr">
        <is>
          <t>累計金額(萬)</t>
        </is>
      </c>
    </row>
    <row r="26">
      <c r="B26" s="102" t="inlineStr">
        <is>
          <t>無連續囤貨資料 (待 master_profile 更新)</t>
        </is>
      </c>
    </row>
  </sheetData>
  <mergeCells count="4">
    <mergeCell ref="B6:H6"/>
    <mergeCell ref="B8:H8"/>
    <mergeCell ref="B3:H4"/>
    <mergeCell ref="B7:H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臻鼎-KY(4958)</t>
        </is>
      </c>
      <c r="E2" s="106" t="n">
        <v>255</v>
      </c>
      <c r="F2" s="106" t="n">
        <v>26</v>
      </c>
      <c r="G2" s="106" t="n">
        <v>16115</v>
      </c>
      <c r="H2" s="106" t="n">
        <v>1623</v>
      </c>
      <c r="I2" s="106" t="n">
        <v>14492</v>
      </c>
      <c r="J2" s="107" t="n">
        <v>631.96</v>
      </c>
      <c r="K2" s="107" t="n">
        <v>624.15</v>
      </c>
      <c r="L2" s="219">
        <f>F2*(K2-J2)</f>
        <v/>
      </c>
    </row>
    <row r="3" ht="16.5" customHeight="1">
      <c r="A3" s="109" t="n"/>
      <c r="B3" s="109" t="n"/>
      <c r="C3" s="109" t="n"/>
      <c r="D3" s="105" t="inlineStr">
        <is>
          <t>國巨*(2327)</t>
        </is>
      </c>
      <c r="E3" s="106" t="n">
        <v>63</v>
      </c>
      <c r="F3" s="106" t="n">
        <v>56</v>
      </c>
      <c r="G3" s="106" t="n">
        <v>7203</v>
      </c>
      <c r="H3" s="106" t="n">
        <v>6422</v>
      </c>
      <c r="I3" s="106" t="n">
        <v>781</v>
      </c>
      <c r="J3" s="107" t="n">
        <v>1143.37</v>
      </c>
      <c r="K3" s="107" t="n">
        <v>1146.77</v>
      </c>
      <c r="L3" s="220">
        <f>F3*(K3-J3)</f>
        <v/>
      </c>
    </row>
    <row r="4" ht="16.5" customHeight="1">
      <c r="A4" s="109" t="n"/>
      <c r="B4" s="109" t="n"/>
      <c r="C4" s="109" t="n"/>
      <c r="D4" s="105" t="inlineStr">
        <is>
          <t>元大金(2885)</t>
        </is>
      </c>
      <c r="E4" s="106" t="n">
        <v>1002</v>
      </c>
      <c r="F4" s="106" t="n">
        <v>2</v>
      </c>
      <c r="G4" s="106" t="n">
        <v>6602</v>
      </c>
      <c r="H4" s="106" t="n">
        <v>14</v>
      </c>
      <c r="I4" s="106" t="n">
        <v>6588</v>
      </c>
      <c r="J4" s="107" t="n">
        <v>65.89</v>
      </c>
      <c r="K4" s="107" t="n">
        <v>69</v>
      </c>
      <c r="L4" s="220">
        <f>F4*(K4-J4)</f>
        <v/>
      </c>
    </row>
    <row r="5" ht="16.5" customHeight="1">
      <c r="A5" s="109" t="n"/>
      <c r="B5" s="109" t="n"/>
      <c r="C5" s="109" t="n"/>
      <c r="D5" s="105" t="inlineStr">
        <is>
          <t>台達電(2308)</t>
        </is>
      </c>
      <c r="E5" s="106" t="n">
        <v>31</v>
      </c>
      <c r="F5" s="106" t="n">
        <v>7</v>
      </c>
      <c r="G5" s="106" t="n">
        <v>6128</v>
      </c>
      <c r="H5" s="106" t="n">
        <v>1503</v>
      </c>
      <c r="I5" s="106" t="n">
        <v>4625</v>
      </c>
      <c r="J5" s="107" t="n">
        <v>1976.87</v>
      </c>
      <c r="K5" s="107" t="n">
        <v>2147.14</v>
      </c>
      <c r="L5" s="220">
        <f>F5*(K5-J5)</f>
        <v/>
      </c>
    </row>
    <row r="6" ht="16.5" customHeight="1">
      <c r="A6" s="109" t="n"/>
      <c r="B6" s="109" t="n"/>
      <c r="C6" s="109" t="n"/>
      <c r="D6" s="105" t="inlineStr">
        <is>
          <t>華邦電(2344)</t>
        </is>
      </c>
      <c r="E6" s="106" t="n">
        <v>227</v>
      </c>
      <c r="F6" s="106" t="n">
        <v>43</v>
      </c>
      <c r="G6" s="106" t="n">
        <v>4385</v>
      </c>
      <c r="H6" s="106" t="n">
        <v>823</v>
      </c>
      <c r="I6" s="106" t="n">
        <v>3562</v>
      </c>
      <c r="J6" s="107" t="n">
        <v>193.15</v>
      </c>
      <c r="K6" s="107" t="n">
        <v>191.33</v>
      </c>
      <c r="L6" s="219">
        <f>F6*(K6-J6)</f>
        <v/>
      </c>
    </row>
    <row r="7" ht="16.5" customHeight="1">
      <c r="A7" s="109" t="n"/>
      <c r="B7" s="109" t="n"/>
      <c r="C7" s="109" t="n"/>
      <c r="D7" s="105" t="inlineStr">
        <is>
          <t>南亞(1303)</t>
        </is>
      </c>
      <c r="E7" s="106" t="n">
        <v>145</v>
      </c>
      <c r="F7" s="106" t="n">
        <v>26</v>
      </c>
      <c r="G7" s="106" t="n">
        <v>2645</v>
      </c>
      <c r="H7" s="106" t="n">
        <v>473</v>
      </c>
      <c r="I7" s="106" t="n">
        <v>2172</v>
      </c>
      <c r="J7" s="107" t="n">
        <v>182.41</v>
      </c>
      <c r="K7" s="107" t="n">
        <v>182</v>
      </c>
      <c r="L7" s="219">
        <f>F7*(K7-J7)</f>
        <v/>
      </c>
    </row>
    <row r="8" ht="16.5" customHeight="1">
      <c r="A8" s="109" t="n"/>
      <c r="B8" s="109" t="n"/>
      <c r="C8" s="109" t="n"/>
      <c r="D8" s="105" t="inlineStr">
        <is>
          <t>南亞科(2408)</t>
        </is>
      </c>
      <c r="E8" s="106" t="n">
        <v>36</v>
      </c>
      <c r="F8" s="106" t="n">
        <v>22</v>
      </c>
      <c r="G8" s="106" t="n">
        <v>1529</v>
      </c>
      <c r="H8" s="106" t="n">
        <v>927</v>
      </c>
      <c r="I8" s="106" t="n">
        <v>602</v>
      </c>
      <c r="J8" s="107" t="n">
        <v>424.61</v>
      </c>
      <c r="K8" s="107" t="n">
        <v>421.32</v>
      </c>
      <c r="L8" s="219">
        <f>F8*(K8-J8)</f>
        <v/>
      </c>
    </row>
    <row r="9" ht="16.5" customHeight="1">
      <c r="A9" s="109" t="n"/>
      <c r="B9" s="109" t="n"/>
      <c r="C9" s="109" t="n"/>
      <c r="D9" s="105" t="inlineStr">
        <is>
          <t>旺宏(2337)</t>
        </is>
      </c>
      <c r="E9" s="106" t="n">
        <v>96</v>
      </c>
      <c r="F9" s="106" t="n">
        <v>28</v>
      </c>
      <c r="G9" s="106" t="n">
        <v>1441</v>
      </c>
      <c r="H9" s="106" t="n">
        <v>407</v>
      </c>
      <c r="I9" s="106" t="n">
        <v>1034</v>
      </c>
      <c r="J9" s="107" t="n">
        <v>150.09</v>
      </c>
      <c r="K9" s="107" t="n">
        <v>145.43</v>
      </c>
      <c r="L9" s="219">
        <f>F9*(K9-J9)</f>
        <v/>
      </c>
    </row>
    <row r="10" ht="16.5" customHeight="1">
      <c r="A10" s="109" t="n"/>
      <c r="B10" s="109" t="n"/>
      <c r="C10" s="109" t="n"/>
      <c r="D10" s="105" t="inlineStr">
        <is>
          <t>力積電(6770)</t>
        </is>
      </c>
      <c r="E10" s="106" t="n">
        <v>188</v>
      </c>
      <c r="F10" s="106" t="n">
        <v>108</v>
      </c>
      <c r="G10" s="106" t="n">
        <v>1430</v>
      </c>
      <c r="H10" s="106" t="n">
        <v>811</v>
      </c>
      <c r="I10" s="106" t="n">
        <v>619</v>
      </c>
      <c r="J10" s="107" t="n">
        <v>76.06</v>
      </c>
      <c r="K10" s="107" t="n">
        <v>75.06</v>
      </c>
      <c r="L10" s="219">
        <f>F10*(K10-J10)</f>
        <v/>
      </c>
    </row>
    <row r="11" ht="16.5" customHeight="1">
      <c r="A11" s="109" t="n"/>
      <c r="B11" s="109" t="n"/>
      <c r="C11" s="109" t="n"/>
      <c r="D11" s="105" t="inlineStr">
        <is>
          <t>鴻海(2317)</t>
        </is>
      </c>
      <c r="E11" s="106" t="n">
        <v>55</v>
      </c>
      <c r="F11" s="106" t="n">
        <v>8</v>
      </c>
      <c r="G11" s="106" t="n">
        <v>1387</v>
      </c>
      <c r="H11" s="106" t="n">
        <v>210</v>
      </c>
      <c r="I11" s="106" t="n">
        <v>1177</v>
      </c>
      <c r="J11" s="107" t="n">
        <v>252.15</v>
      </c>
      <c r="K11" s="107" t="n">
        <v>263</v>
      </c>
      <c r="L11" s="220">
        <f>F11*(K11-J11)</f>
        <v/>
      </c>
    </row>
    <row r="12" ht="16.5" customHeight="1">
      <c r="A12" s="111" t="n"/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A13" s="109" t="n"/>
      <c r="B13" s="104" t="inlineStr">
        <is>
          <t>富邦-南屯</t>
        </is>
      </c>
      <c r="C13" s="104" t="inlineStr">
        <is>
          <t>9666</t>
        </is>
      </c>
      <c r="D13" s="105" t="inlineStr">
        <is>
          <t>群創(3481)</t>
        </is>
      </c>
      <c r="E13" s="106" t="n">
        <v>1112</v>
      </c>
      <c r="F13" s="106" t="n">
        <v>875</v>
      </c>
      <c r="G13" s="106" t="n">
        <v>7748</v>
      </c>
      <c r="H13" s="106" t="n">
        <v>5996</v>
      </c>
      <c r="I13" s="106" t="n">
        <v>1752</v>
      </c>
      <c r="J13" s="107" t="n">
        <v>69.68000000000001</v>
      </c>
      <c r="K13" s="107" t="n">
        <v>68.52</v>
      </c>
      <c r="L13" s="219">
        <f>F13*(K13-J13)</f>
        <v/>
      </c>
    </row>
    <row r="14" ht="16.5" customHeight="1">
      <c r="A14" s="109" t="n"/>
      <c r="B14" s="109" t="n"/>
      <c r="C14" s="109" t="n"/>
      <c r="D14" s="105" t="inlineStr">
        <is>
          <t>頎邦(6147)</t>
        </is>
      </c>
      <c r="E14" s="106" t="n">
        <v>281</v>
      </c>
      <c r="F14" s="106" t="n">
        <v>181</v>
      </c>
      <c r="G14" s="106" t="n">
        <v>6450</v>
      </c>
      <c r="H14" s="106" t="n">
        <v>4076</v>
      </c>
      <c r="I14" s="106" t="n">
        <v>2374</v>
      </c>
      <c r="J14" s="107" t="n">
        <v>229.54</v>
      </c>
      <c r="K14" s="107" t="n">
        <v>225.17</v>
      </c>
      <c r="L14" s="219">
        <f>F14*(K14-J14)</f>
        <v/>
      </c>
    </row>
    <row r="15" ht="16.5" customHeight="1">
      <c r="A15" s="109" t="n"/>
      <c r="B15" s="109" t="n"/>
      <c r="C15" s="109" t="n"/>
      <c r="D15" s="105" t="inlineStr">
        <is>
          <t>國巨*(2327)</t>
        </is>
      </c>
      <c r="E15" s="106" t="n">
        <v>49</v>
      </c>
      <c r="F15" s="106" t="n">
        <v>37</v>
      </c>
      <c r="G15" s="106" t="n">
        <v>5558</v>
      </c>
      <c r="H15" s="106" t="n">
        <v>4204</v>
      </c>
      <c r="I15" s="106" t="n">
        <v>1354</v>
      </c>
      <c r="J15" s="107" t="n">
        <v>1134.29</v>
      </c>
      <c r="K15" s="107" t="n">
        <v>1136.11</v>
      </c>
      <c r="L15" s="220">
        <f>F15*(K15-J15)</f>
        <v/>
      </c>
    </row>
    <row r="16" ht="16.5" customHeight="1">
      <c r="A16" s="109" t="n"/>
      <c r="B16" s="109" t="n"/>
      <c r="C16" s="109" t="n"/>
      <c r="D16" s="105" t="inlineStr">
        <is>
          <t>蔚華科(3055)</t>
        </is>
      </c>
      <c r="E16" s="106" t="n">
        <v>323</v>
      </c>
      <c r="F16" s="106" t="n">
        <v>11</v>
      </c>
      <c r="G16" s="106" t="n">
        <v>4118</v>
      </c>
      <c r="H16" s="106" t="n">
        <v>133</v>
      </c>
      <c r="I16" s="106" t="n">
        <v>3985</v>
      </c>
      <c r="J16" s="107" t="n">
        <v>127.5</v>
      </c>
      <c r="K16" s="107" t="n">
        <v>120.73</v>
      </c>
      <c r="L16" s="219">
        <f>F16*(K16-J16)</f>
        <v/>
      </c>
    </row>
    <row r="17" ht="16.5" customHeight="1">
      <c r="A17" s="109" t="n"/>
      <c r="B17" s="109" t="n"/>
      <c r="C17" s="109" t="n"/>
      <c r="D17" s="105" t="inlineStr">
        <is>
          <t>南亞科(2408)</t>
        </is>
      </c>
      <c r="E17" s="106" t="n">
        <v>88</v>
      </c>
      <c r="F17" s="106" t="n">
        <v>50</v>
      </c>
      <c r="G17" s="106" t="n">
        <v>3807</v>
      </c>
      <c r="H17" s="106" t="n">
        <v>2134</v>
      </c>
      <c r="I17" s="106" t="n">
        <v>1673</v>
      </c>
      <c r="J17" s="107" t="n">
        <v>432.61</v>
      </c>
      <c r="K17" s="107" t="n">
        <v>426.86</v>
      </c>
      <c r="L17" s="219">
        <f>F17*(K17-J17)</f>
        <v/>
      </c>
    </row>
    <row r="18" ht="16.5" customHeight="1">
      <c r="A18" s="109" t="n"/>
      <c r="B18" s="109" t="n"/>
      <c r="C18" s="109" t="n"/>
      <c r="D18" s="105" t="inlineStr">
        <is>
          <t>友達(2409)</t>
        </is>
      </c>
      <c r="E18" s="106" t="n">
        <v>1074</v>
      </c>
      <c r="F18" s="106" t="n">
        <v>693</v>
      </c>
      <c r="G18" s="106" t="n">
        <v>3464</v>
      </c>
      <c r="H18" s="106" t="n">
        <v>2226</v>
      </c>
      <c r="I18" s="106" t="n">
        <v>1238</v>
      </c>
      <c r="J18" s="107" t="n">
        <v>32.26</v>
      </c>
      <c r="K18" s="107" t="n">
        <v>32.12</v>
      </c>
      <c r="L18" s="219">
        <f>F18*(K18-J18)</f>
        <v/>
      </c>
    </row>
    <row r="19" ht="16.5" customHeight="1">
      <c r="A19" s="109" t="n"/>
      <c r="B19" s="109" t="n"/>
      <c r="C19" s="109" t="n"/>
      <c r="D19" s="105" t="inlineStr">
        <is>
          <t>南電(8046)</t>
        </is>
      </c>
      <c r="E19" s="106" t="n">
        <v>29</v>
      </c>
      <c r="F19" s="106" t="n">
        <v>23</v>
      </c>
      <c r="G19" s="106" t="n">
        <v>3443</v>
      </c>
      <c r="H19" s="106" t="n">
        <v>2755</v>
      </c>
      <c r="I19" s="106" t="n">
        <v>688</v>
      </c>
      <c r="J19" s="107" t="n">
        <v>1187.34</v>
      </c>
      <c r="K19" s="107" t="n">
        <v>1197.83</v>
      </c>
      <c r="L19" s="220">
        <f>F19*(K19-J19)</f>
        <v/>
      </c>
    </row>
    <row r="20" ht="16.5" customHeight="1">
      <c r="A20" s="109" t="n"/>
      <c r="B20" s="109" t="n"/>
      <c r="C20" s="109" t="n"/>
      <c r="D20" s="105" t="inlineStr">
        <is>
          <t>景碩(3189)</t>
        </is>
      </c>
      <c r="E20" s="106" t="n">
        <v>35</v>
      </c>
      <c r="F20" s="106" t="n">
        <v>28</v>
      </c>
      <c r="G20" s="106" t="n">
        <v>3152</v>
      </c>
      <c r="H20" s="106" t="n">
        <v>2514</v>
      </c>
      <c r="I20" s="106" t="n">
        <v>638</v>
      </c>
      <c r="J20" s="107" t="n">
        <v>900.66</v>
      </c>
      <c r="K20" s="107" t="n">
        <v>897.86</v>
      </c>
      <c r="L20" s="219">
        <f>F20*(K20-J20)</f>
        <v/>
      </c>
    </row>
    <row r="21" ht="16.5" customHeight="1">
      <c r="A21" s="109" t="n"/>
      <c r="B21" s="109" t="n"/>
      <c r="C21" s="109" t="n"/>
      <c r="D21" s="105" t="inlineStr">
        <is>
          <t>臻鼎-KY(4958)</t>
        </is>
      </c>
      <c r="E21" s="106" t="n">
        <v>52</v>
      </c>
      <c r="F21" s="106" t="n">
        <v>28</v>
      </c>
      <c r="G21" s="106" t="n">
        <v>3116</v>
      </c>
      <c r="H21" s="106" t="n">
        <v>1700</v>
      </c>
      <c r="I21" s="106" t="n">
        <v>1416</v>
      </c>
      <c r="J21" s="107" t="n">
        <v>599.25</v>
      </c>
      <c r="K21" s="107" t="n">
        <v>606.96</v>
      </c>
      <c r="L21" s="220">
        <f>F21*(K21-J21)</f>
        <v/>
      </c>
    </row>
    <row r="22" ht="16.5" customHeight="1">
      <c r="A22" s="109" t="n"/>
      <c r="B22" s="109" t="n"/>
      <c r="C22" s="109" t="n"/>
      <c r="D22" s="105" t="inlineStr">
        <is>
          <t>力積電(6770)</t>
        </is>
      </c>
      <c r="E22" s="106" t="n">
        <v>352</v>
      </c>
      <c r="F22" s="106" t="n">
        <v>222</v>
      </c>
      <c r="G22" s="106" t="n">
        <v>2706</v>
      </c>
      <c r="H22" s="106" t="n">
        <v>1667</v>
      </c>
      <c r="I22" s="106" t="n">
        <v>1039</v>
      </c>
      <c r="J22" s="107" t="n">
        <v>76.88</v>
      </c>
      <c r="K22" s="107" t="n">
        <v>75.09999999999999</v>
      </c>
      <c r="L22" s="219">
        <f>F22*(K22-J22)</f>
        <v/>
      </c>
    </row>
    <row r="23" ht="16.5" customHeight="1">
      <c r="A23" s="111" t="n"/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A24" s="109" t="n"/>
      <c r="B24" s="104" t="inlineStr">
        <is>
          <t>國票-彰化</t>
        </is>
      </c>
      <c r="C24" s="104" t="inlineStr">
        <is>
          <t>779W</t>
        </is>
      </c>
      <c r="D24" s="105" t="inlineStr">
        <is>
          <t>南亞科(2408)</t>
        </is>
      </c>
      <c r="E24" s="106" t="n">
        <v>218</v>
      </c>
      <c r="F24" s="106" t="n">
        <v>214</v>
      </c>
      <c r="G24" s="106" t="n">
        <v>9167</v>
      </c>
      <c r="H24" s="106" t="n">
        <v>9011</v>
      </c>
      <c r="I24" s="106" t="n">
        <v>156</v>
      </c>
      <c r="J24" s="107" t="n">
        <v>420.52</v>
      </c>
      <c r="K24" s="107" t="n">
        <v>421.06</v>
      </c>
      <c r="L24" s="220">
        <f>F24*(K24-J24)</f>
        <v/>
      </c>
    </row>
    <row r="25" ht="16.5" customHeight="1">
      <c r="A25" s="109" t="n"/>
      <c r="B25" s="109" t="n"/>
      <c r="C25" s="109" t="n"/>
      <c r="D25" s="105" t="inlineStr">
        <is>
          <t>聯發科(2454)</t>
        </is>
      </c>
      <c r="E25" s="106" t="n">
        <v>4</v>
      </c>
      <c r="F25" s="106" t="n">
        <v>3</v>
      </c>
      <c r="G25" s="106" t="n">
        <v>1732</v>
      </c>
      <c r="H25" s="106" t="n">
        <v>1399</v>
      </c>
      <c r="I25" s="106" t="n">
        <v>333</v>
      </c>
      <c r="J25" s="107" t="n">
        <v>4331</v>
      </c>
      <c r="K25" s="107" t="n">
        <v>4663</v>
      </c>
      <c r="L25" s="220">
        <f>F25*(K25-J25)</f>
        <v/>
      </c>
    </row>
    <row r="26" ht="16.5" customHeight="1">
      <c r="A26" s="109" t="n"/>
      <c r="B26" s="109" t="n"/>
      <c r="C26" s="109" t="n"/>
      <c r="D26" s="105" t="inlineStr">
        <is>
          <t>頎邦(6147)</t>
        </is>
      </c>
      <c r="E26" s="106" t="n">
        <v>65</v>
      </c>
      <c r="F26" s="106" t="n">
        <v>13</v>
      </c>
      <c r="G26" s="106" t="n">
        <v>1505</v>
      </c>
      <c r="H26" s="106" t="n">
        <v>297</v>
      </c>
      <c r="I26" s="106" t="n">
        <v>1208</v>
      </c>
      <c r="J26" s="107" t="n">
        <v>231.52</v>
      </c>
      <c r="K26" s="107" t="n">
        <v>228.69</v>
      </c>
      <c r="L26" s="219">
        <f>F26*(K26-J26)</f>
        <v/>
      </c>
    </row>
    <row r="27" ht="16.5" customHeight="1">
      <c r="A27" s="109" t="n"/>
      <c r="B27" s="109" t="n"/>
      <c r="C27" s="109" t="n"/>
      <c r="D27" s="105" t="inlineStr">
        <is>
          <t>矽統(2363)</t>
        </is>
      </c>
      <c r="E27" s="106" t="n">
        <v>166</v>
      </c>
      <c r="F27" s="106" t="n">
        <v>35</v>
      </c>
      <c r="G27" s="106" t="n">
        <v>1245</v>
      </c>
      <c r="H27" s="106" t="n">
        <v>262</v>
      </c>
      <c r="I27" s="106" t="n">
        <v>983</v>
      </c>
      <c r="J27" s="107" t="n">
        <v>75.02</v>
      </c>
      <c r="K27" s="107" t="n">
        <v>74.89</v>
      </c>
      <c r="L27" s="219">
        <f>F27*(K27-J27)</f>
        <v/>
      </c>
    </row>
    <row r="28" ht="16.5" customHeight="1">
      <c r="A28" s="109" t="n"/>
      <c r="B28" s="109" t="n"/>
      <c r="C28" s="109" t="n"/>
      <c r="D28" s="105" t="inlineStr">
        <is>
          <t>臻鼎-KY(4958)</t>
        </is>
      </c>
      <c r="E28" s="106" t="n">
        <v>13</v>
      </c>
      <c r="F28" s="106" t="n">
        <v>8</v>
      </c>
      <c r="G28" s="106" t="n">
        <v>755</v>
      </c>
      <c r="H28" s="106" t="n">
        <v>501</v>
      </c>
      <c r="I28" s="106" t="n">
        <v>254</v>
      </c>
      <c r="J28" s="107" t="n">
        <v>580.46</v>
      </c>
      <c r="K28" s="107" t="n">
        <v>625.75</v>
      </c>
      <c r="L28" s="220">
        <f>F28*(K28-J28)</f>
        <v/>
      </c>
    </row>
    <row r="29" ht="16.5" customHeight="1">
      <c r="A29" s="109" t="n"/>
      <c r="B29" s="109" t="n"/>
      <c r="C29" s="109" t="n"/>
      <c r="D29" s="105" t="inlineStr">
        <is>
          <t>高技(5439)</t>
        </is>
      </c>
      <c r="E29" s="106" t="n">
        <v>15</v>
      </c>
      <c r="F29" s="106" t="n">
        <v>9</v>
      </c>
      <c r="G29" s="106" t="n">
        <v>469</v>
      </c>
      <c r="H29" s="106" t="n">
        <v>294</v>
      </c>
      <c r="I29" s="106" t="n">
        <v>175</v>
      </c>
      <c r="J29" s="107" t="n">
        <v>312.53</v>
      </c>
      <c r="K29" s="107" t="n">
        <v>326.22</v>
      </c>
      <c r="L29" s="220">
        <f>F29*(K29-J29)</f>
        <v/>
      </c>
    </row>
    <row r="30" ht="16.5" customHeight="1">
      <c r="A30" s="109" t="n"/>
      <c r="B30" s="109" t="n"/>
      <c r="C30" s="109" t="n"/>
      <c r="D30" s="105" t="inlineStr">
        <is>
          <t>磐儀(3594)</t>
        </is>
      </c>
      <c r="E30" s="106" t="n">
        <v>80</v>
      </c>
      <c r="F30" s="106" t="n">
        <v>30</v>
      </c>
      <c r="G30" s="106" t="n">
        <v>450</v>
      </c>
      <c r="H30" s="106" t="n">
        <v>169</v>
      </c>
      <c r="I30" s="106" t="n">
        <v>281</v>
      </c>
      <c r="J30" s="107" t="n">
        <v>56.3</v>
      </c>
      <c r="K30" s="107" t="n">
        <v>56.23</v>
      </c>
      <c r="L30" s="219">
        <f>F30*(K30-J30)</f>
        <v/>
      </c>
    </row>
    <row r="31" ht="16.5" customHeight="1">
      <c r="A31" s="109" t="n"/>
      <c r="B31" s="109" t="n"/>
      <c r="C31" s="109" t="n"/>
      <c r="D31" s="105" t="inlineStr">
        <is>
          <t>力智(6719)</t>
        </is>
      </c>
      <c r="E31" s="106" t="n">
        <v>14</v>
      </c>
      <c r="F31" s="106" t="n">
        <v>1</v>
      </c>
      <c r="G31" s="106" t="n">
        <v>417</v>
      </c>
      <c r="H31" s="106" t="n">
        <v>30</v>
      </c>
      <c r="I31" s="106" t="n">
        <v>387</v>
      </c>
      <c r="J31" s="107" t="n">
        <v>297.86</v>
      </c>
      <c r="K31" s="107" t="n">
        <v>295</v>
      </c>
      <c r="L31" s="219">
        <f>F31*(K31-J31)</f>
        <v/>
      </c>
    </row>
    <row r="32" ht="16.5" customHeight="1">
      <c r="A32" s="109" t="n"/>
      <c r="B32" s="109" t="n"/>
      <c r="C32" s="109" t="n"/>
      <c r="D32" s="105" t="inlineStr">
        <is>
          <t>青雲(5386)</t>
        </is>
      </c>
      <c r="E32" s="106" t="n">
        <v>8</v>
      </c>
      <c r="F32" s="106" t="n">
        <v>0</v>
      </c>
      <c r="G32" s="106" t="n">
        <v>340</v>
      </c>
      <c r="H32" s="106" t="n">
        <v>0</v>
      </c>
      <c r="I32" s="106" t="n">
        <v>340</v>
      </c>
      <c r="J32" s="107" t="n">
        <v>425</v>
      </c>
      <c r="K32" s="107" t="n">
        <v>0</v>
      </c>
      <c r="L32" s="220">
        <f>F32*(K32-J32)</f>
        <v/>
      </c>
    </row>
    <row r="33" ht="16.5" customHeight="1">
      <c r="A33" s="109" t="n"/>
      <c r="B33" s="109" t="n"/>
      <c r="C33" s="109" t="n"/>
      <c r="D33" s="105" t="inlineStr">
        <is>
          <t>旺宏(2337)</t>
        </is>
      </c>
      <c r="E33" s="106" t="n">
        <v>22</v>
      </c>
      <c r="F33" s="106" t="n">
        <v>7</v>
      </c>
      <c r="G33" s="106" t="n">
        <v>328</v>
      </c>
      <c r="H33" s="106" t="n">
        <v>102</v>
      </c>
      <c r="I33" s="106" t="n">
        <v>226</v>
      </c>
      <c r="J33" s="107" t="n">
        <v>149.23</v>
      </c>
      <c r="K33" s="107" t="n">
        <v>146.29</v>
      </c>
      <c r="L33" s="219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智邦(2345)</t>
        </is>
      </c>
      <c r="E35" s="115" t="n">
        <v>57</v>
      </c>
      <c r="F35" s="115" t="n">
        <v>15</v>
      </c>
      <c r="G35" s="115" t="n">
        <v>15120</v>
      </c>
      <c r="H35" s="115" t="n">
        <v>3946</v>
      </c>
      <c r="I35" s="115" t="n">
        <v>11174</v>
      </c>
      <c r="J35" s="116" t="n">
        <v>2652.72</v>
      </c>
      <c r="K35" s="116" t="n">
        <v>2630.8</v>
      </c>
      <c r="L35" s="219">
        <f>F35*(K35-J35)</f>
        <v/>
      </c>
    </row>
    <row r="36" ht="16.5" customHeight="1">
      <c r="A36" s="117" t="n"/>
      <c r="B36" s="117" t="n"/>
      <c r="C36" s="117" t="n"/>
      <c r="D36" s="114" t="inlineStr">
        <is>
          <t>南亞科(2408)</t>
        </is>
      </c>
      <c r="E36" s="115" t="n">
        <v>342</v>
      </c>
      <c r="F36" s="115" t="n">
        <v>163</v>
      </c>
      <c r="G36" s="115" t="n">
        <v>15097</v>
      </c>
      <c r="H36" s="115" t="n">
        <v>6969</v>
      </c>
      <c r="I36" s="115" t="n">
        <v>8128</v>
      </c>
      <c r="J36" s="116" t="n">
        <v>441.42</v>
      </c>
      <c r="K36" s="116" t="n">
        <v>427.53</v>
      </c>
      <c r="L36" s="219">
        <f>F36*(K36-J36)</f>
        <v/>
      </c>
    </row>
    <row r="37" ht="16.5" customHeight="1">
      <c r="A37" s="117" t="n"/>
      <c r="B37" s="117" t="n"/>
      <c r="C37" s="117" t="n"/>
      <c r="D37" s="114" t="inlineStr">
        <is>
          <t>景碩(3189)</t>
        </is>
      </c>
      <c r="E37" s="115" t="n">
        <v>109</v>
      </c>
      <c r="F37" s="115" t="n">
        <v>92</v>
      </c>
      <c r="G37" s="115" t="n">
        <v>9691</v>
      </c>
      <c r="H37" s="115" t="n">
        <v>8136</v>
      </c>
      <c r="I37" s="115" t="n">
        <v>1555</v>
      </c>
      <c r="J37" s="116" t="n">
        <v>889.12</v>
      </c>
      <c r="K37" s="116" t="n">
        <v>884.33</v>
      </c>
      <c r="L37" s="219">
        <f>F37*(K37-J37)</f>
        <v/>
      </c>
    </row>
    <row r="38" ht="16.5" customHeight="1">
      <c r="A38" s="117" t="n"/>
      <c r="B38" s="117" t="n"/>
      <c r="C38" s="117" t="n"/>
      <c r="D38" s="114" t="inlineStr">
        <is>
          <t>富喬(1815)</t>
        </is>
      </c>
      <c r="E38" s="115" t="n">
        <v>855</v>
      </c>
      <c r="F38" s="115" t="n">
        <v>438</v>
      </c>
      <c r="G38" s="115" t="n">
        <v>9220</v>
      </c>
      <c r="H38" s="115" t="n">
        <v>4933</v>
      </c>
      <c r="I38" s="115" t="n">
        <v>4287</v>
      </c>
      <c r="J38" s="116" t="n">
        <v>107.84</v>
      </c>
      <c r="K38" s="116" t="n">
        <v>112.63</v>
      </c>
      <c r="L38" s="220">
        <f>F38*(K38-J38)</f>
        <v/>
      </c>
    </row>
    <row r="39" ht="16.5" customHeight="1">
      <c r="A39" s="117" t="n"/>
      <c r="B39" s="117" t="n"/>
      <c r="C39" s="117" t="n"/>
      <c r="D39" s="114" t="inlineStr">
        <is>
          <t>華邦電(2344)</t>
        </is>
      </c>
      <c r="E39" s="115" t="n">
        <v>437</v>
      </c>
      <c r="F39" s="115" t="n">
        <v>337</v>
      </c>
      <c r="G39" s="115" t="n">
        <v>8532</v>
      </c>
      <c r="H39" s="115" t="n">
        <v>6553</v>
      </c>
      <c r="I39" s="115" t="n">
        <v>1979</v>
      </c>
      <c r="J39" s="116" t="n">
        <v>195.24</v>
      </c>
      <c r="K39" s="116" t="n">
        <v>194.45</v>
      </c>
      <c r="L39" s="219">
        <f>F39*(K39-J39)</f>
        <v/>
      </c>
    </row>
    <row r="40" ht="16.5" customHeight="1">
      <c r="A40" s="117" t="n"/>
      <c r="B40" s="117" t="n"/>
      <c r="C40" s="117" t="n"/>
      <c r="D40" s="114" t="inlineStr">
        <is>
          <t>國巨*(2327)</t>
        </is>
      </c>
      <c r="E40" s="115" t="n">
        <v>74</v>
      </c>
      <c r="F40" s="115" t="n">
        <v>65</v>
      </c>
      <c r="G40" s="115" t="n">
        <v>8470</v>
      </c>
      <c r="H40" s="115" t="n">
        <v>7427</v>
      </c>
      <c r="I40" s="115" t="n">
        <v>1043</v>
      </c>
      <c r="J40" s="116" t="n">
        <v>1144.61</v>
      </c>
      <c r="K40" s="116" t="n">
        <v>1142.68</v>
      </c>
      <c r="L40" s="219">
        <f>F40*(K40-J40)</f>
        <v/>
      </c>
    </row>
    <row r="41" ht="16.5" customHeight="1">
      <c r="A41" s="117" t="n"/>
      <c r="B41" s="117" t="n"/>
      <c r="C41" s="117" t="n"/>
      <c r="D41" s="114" t="inlineStr">
        <is>
          <t>臻鼎-KY(4958)</t>
        </is>
      </c>
      <c r="E41" s="115" t="n">
        <v>117</v>
      </c>
      <c r="F41" s="115" t="n">
        <v>71</v>
      </c>
      <c r="G41" s="115" t="n">
        <v>7051</v>
      </c>
      <c r="H41" s="115" t="n">
        <v>4280</v>
      </c>
      <c r="I41" s="115" t="n">
        <v>2771</v>
      </c>
      <c r="J41" s="116" t="n">
        <v>602.64</v>
      </c>
      <c r="K41" s="116" t="n">
        <v>602.77</v>
      </c>
      <c r="L41" s="220">
        <f>F41*(K41-J41)</f>
        <v/>
      </c>
    </row>
    <row r="42" ht="16.5" customHeight="1">
      <c r="A42" s="117" t="n"/>
      <c r="B42" s="117" t="n"/>
      <c r="C42" s="117" t="n"/>
      <c r="D42" s="114" t="inlineStr">
        <is>
          <t>友達(2409)</t>
        </is>
      </c>
      <c r="E42" s="115" t="n">
        <v>1782</v>
      </c>
      <c r="F42" s="115" t="n">
        <v>1353</v>
      </c>
      <c r="G42" s="115" t="n">
        <v>5786</v>
      </c>
      <c r="H42" s="115" t="n">
        <v>4378</v>
      </c>
      <c r="I42" s="115" t="n">
        <v>1408</v>
      </c>
      <c r="J42" s="116" t="n">
        <v>32.47</v>
      </c>
      <c r="K42" s="116" t="n">
        <v>32.36</v>
      </c>
      <c r="L42" s="219">
        <f>F42*(K42-J42)</f>
        <v/>
      </c>
    </row>
    <row r="43" ht="16.5" customHeight="1">
      <c r="A43" s="117" t="n"/>
      <c r="B43" s="117" t="n"/>
      <c r="C43" s="117" t="n"/>
      <c r="D43" s="114" t="inlineStr">
        <is>
          <t>頎邦(6147)</t>
        </is>
      </c>
      <c r="E43" s="115" t="n">
        <v>248</v>
      </c>
      <c r="F43" s="115" t="n">
        <v>90</v>
      </c>
      <c r="G43" s="115" t="n">
        <v>5582</v>
      </c>
      <c r="H43" s="115" t="n">
        <v>2032</v>
      </c>
      <c r="I43" s="115" t="n">
        <v>3550</v>
      </c>
      <c r="J43" s="116" t="n">
        <v>225.08</v>
      </c>
      <c r="K43" s="116" t="n">
        <v>225.79</v>
      </c>
      <c r="L43" s="220">
        <f>F43*(K43-J43)</f>
        <v/>
      </c>
    </row>
    <row r="44" ht="16.5" customHeight="1">
      <c r="A44" s="117" t="n"/>
      <c r="B44" s="117" t="n"/>
      <c r="C44" s="117" t="n"/>
      <c r="D44" s="114" t="inlineStr">
        <is>
          <t>旺宏(2337)</t>
        </is>
      </c>
      <c r="E44" s="115" t="n">
        <v>341</v>
      </c>
      <c r="F44" s="115" t="n">
        <v>183</v>
      </c>
      <c r="G44" s="115" t="n">
        <v>5032</v>
      </c>
      <c r="H44" s="115" t="n">
        <v>2689</v>
      </c>
      <c r="I44" s="115" t="n">
        <v>2343</v>
      </c>
      <c r="J44" s="116" t="n">
        <v>147.58</v>
      </c>
      <c r="K44" s="116" t="n">
        <v>146.96</v>
      </c>
      <c r="L44" s="219">
        <f>F44*(K44-J44)</f>
        <v/>
      </c>
    </row>
    <row r="45" ht="16.5" customHeight="1">
      <c r="A45" s="118" t="n"/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A46" s="117" t="n"/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國巨*(2327)</t>
        </is>
      </c>
      <c r="E46" s="115" t="n">
        <v>26</v>
      </c>
      <c r="F46" s="115" t="n">
        <v>12</v>
      </c>
      <c r="G46" s="115" t="n">
        <v>2953</v>
      </c>
      <c r="H46" s="115" t="n">
        <v>1335</v>
      </c>
      <c r="I46" s="115" t="n">
        <v>1618</v>
      </c>
      <c r="J46" s="116" t="n">
        <v>1135.69</v>
      </c>
      <c r="K46" s="116" t="n">
        <v>1112.83</v>
      </c>
      <c r="L46" s="219">
        <f>F46*(K46-J46)</f>
        <v/>
      </c>
    </row>
    <row r="47" ht="16.5" customHeight="1">
      <c r="A47" s="117" t="n"/>
      <c r="B47" s="117" t="n"/>
      <c r="C47" s="117" t="n"/>
      <c r="D47" s="114" t="inlineStr">
        <is>
          <t>國泰金(2882)</t>
        </is>
      </c>
      <c r="E47" s="115" t="n">
        <v>292</v>
      </c>
      <c r="F47" s="115" t="n">
        <v>267</v>
      </c>
      <c r="G47" s="115" t="n">
        <v>2774</v>
      </c>
      <c r="H47" s="115" t="n">
        <v>2536</v>
      </c>
      <c r="I47" s="115" t="n">
        <v>238</v>
      </c>
      <c r="J47" s="116" t="n">
        <v>95</v>
      </c>
      <c r="K47" s="116" t="n">
        <v>95</v>
      </c>
      <c r="L47" s="220">
        <f>F47*(K47-J47)</f>
        <v/>
      </c>
    </row>
    <row r="48" ht="16.5" customHeight="1">
      <c r="A48" s="117" t="n"/>
      <c r="B48" s="117" t="n"/>
      <c r="C48" s="117" t="n"/>
      <c r="D48" s="114" t="inlineStr">
        <is>
          <t>環球晶(6488)</t>
        </is>
      </c>
      <c r="E48" s="115" t="n">
        <v>20</v>
      </c>
      <c r="F48" s="115" t="n">
        <v>0</v>
      </c>
      <c r="G48" s="115" t="n">
        <v>2210</v>
      </c>
      <c r="H48" s="115" t="n">
        <v>0</v>
      </c>
      <c r="I48" s="115" t="n">
        <v>2210</v>
      </c>
      <c r="J48" s="116" t="n">
        <v>1105</v>
      </c>
      <c r="K48" s="116" t="n">
        <v>0</v>
      </c>
      <c r="L48" s="220">
        <f>F48*(K48-J48)</f>
        <v/>
      </c>
    </row>
    <row r="49" ht="16.5" customHeight="1">
      <c r="A49" s="117" t="n"/>
      <c r="B49" s="117" t="n"/>
      <c r="C49" s="117" t="n"/>
      <c r="D49" s="114" t="inlineStr">
        <is>
          <t>緯創(3231)</t>
        </is>
      </c>
      <c r="E49" s="115" t="n">
        <v>130</v>
      </c>
      <c r="F49" s="115" t="n">
        <v>82</v>
      </c>
      <c r="G49" s="115" t="n">
        <v>2092</v>
      </c>
      <c r="H49" s="115" t="n">
        <v>1320</v>
      </c>
      <c r="I49" s="115" t="n">
        <v>772</v>
      </c>
      <c r="J49" s="116" t="n">
        <v>160.9</v>
      </c>
      <c r="K49" s="116" t="n">
        <v>161.02</v>
      </c>
      <c r="L49" s="220">
        <f>F49*(K49-J49)</f>
        <v/>
      </c>
    </row>
    <row r="50" ht="16.5" customHeight="1">
      <c r="A50" s="117" t="n"/>
      <c r="B50" s="117" t="n"/>
      <c r="C50" s="117" t="n"/>
      <c r="D50" s="114" t="inlineStr">
        <is>
          <t>宏泰(1612)</t>
        </is>
      </c>
      <c r="E50" s="115" t="n">
        <v>500</v>
      </c>
      <c r="F50" s="115" t="n">
        <v>0</v>
      </c>
      <c r="G50" s="115" t="n">
        <v>1846</v>
      </c>
      <c r="H50" s="115" t="n">
        <v>0</v>
      </c>
      <c r="I50" s="115" t="n">
        <v>1846</v>
      </c>
      <c r="J50" s="116" t="n">
        <v>36.91</v>
      </c>
      <c r="K50" s="116" t="n">
        <v>0</v>
      </c>
      <c r="L50" s="220">
        <f>F50*(K50-J50)</f>
        <v/>
      </c>
    </row>
    <row r="51" ht="16.5" customHeight="1">
      <c r="A51" s="117" t="n"/>
      <c r="B51" s="117" t="n"/>
      <c r="C51" s="117" t="n"/>
      <c r="D51" s="114" t="inlineStr">
        <is>
          <t>景碩(3189)</t>
        </is>
      </c>
      <c r="E51" s="115" t="n">
        <v>20</v>
      </c>
      <c r="F51" s="115" t="n">
        <v>7</v>
      </c>
      <c r="G51" s="115" t="n">
        <v>1810</v>
      </c>
      <c r="H51" s="115" t="n">
        <v>633</v>
      </c>
      <c r="I51" s="115" t="n">
        <v>1177</v>
      </c>
      <c r="J51" s="116" t="n">
        <v>904.75</v>
      </c>
      <c r="K51" s="116" t="n">
        <v>904.71</v>
      </c>
      <c r="L51" s="219">
        <f>F51*(K51-J51)</f>
        <v/>
      </c>
    </row>
    <row r="52" ht="16.5" customHeight="1">
      <c r="A52" s="117" t="n"/>
      <c r="B52" s="117" t="n"/>
      <c r="C52" s="117" t="n"/>
      <c r="D52" s="114" t="inlineStr">
        <is>
          <t>臻鼎-KY(4958)</t>
        </is>
      </c>
      <c r="E52" s="115" t="n">
        <v>28</v>
      </c>
      <c r="F52" s="115" t="n">
        <v>6</v>
      </c>
      <c r="G52" s="115" t="n">
        <v>1693</v>
      </c>
      <c r="H52" s="115" t="n">
        <v>378</v>
      </c>
      <c r="I52" s="115" t="n">
        <v>1315</v>
      </c>
      <c r="J52" s="116" t="n">
        <v>604.75</v>
      </c>
      <c r="K52" s="116" t="n">
        <v>629.5</v>
      </c>
      <c r="L52" s="220">
        <f>F52*(K52-J52)</f>
        <v/>
      </c>
    </row>
    <row r="53" ht="16.5" customHeight="1">
      <c r="A53" s="117" t="n"/>
      <c r="B53" s="117" t="n"/>
      <c r="C53" s="117" t="n"/>
      <c r="D53" s="114" t="inlineStr">
        <is>
          <t>華邦電(2344)</t>
        </is>
      </c>
      <c r="E53" s="115" t="n">
        <v>82</v>
      </c>
      <c r="F53" s="115" t="n">
        <v>39</v>
      </c>
      <c r="G53" s="115" t="n">
        <v>1608</v>
      </c>
      <c r="H53" s="115" t="n">
        <v>741</v>
      </c>
      <c r="I53" s="115" t="n">
        <v>867</v>
      </c>
      <c r="J53" s="116" t="n">
        <v>196.05</v>
      </c>
      <c r="K53" s="116" t="n">
        <v>189.9</v>
      </c>
      <c r="L53" s="219">
        <f>F53*(K53-J53)</f>
        <v/>
      </c>
    </row>
    <row r="54" ht="16.5" customHeight="1">
      <c r="A54" s="117" t="n"/>
      <c r="B54" s="117" t="n"/>
      <c r="C54" s="117" t="n"/>
      <c r="D54" s="114" t="inlineStr">
        <is>
          <t>旺矽(6223)</t>
        </is>
      </c>
      <c r="E54" s="115" t="n">
        <v>2</v>
      </c>
      <c r="F54" s="115" t="n">
        <v>1</v>
      </c>
      <c r="G54" s="115" t="n">
        <v>1288</v>
      </c>
      <c r="H54" s="115" t="n">
        <v>4</v>
      </c>
      <c r="I54" s="115" t="n">
        <v>1284</v>
      </c>
      <c r="J54" s="116" t="n">
        <v>6437.5</v>
      </c>
      <c r="K54" s="116" t="n">
        <v>40</v>
      </c>
      <c r="L54" s="219">
        <f>F54*(K54-J54)</f>
        <v/>
      </c>
    </row>
    <row r="55" ht="16.5" customHeight="1">
      <c r="A55" s="117" t="n"/>
      <c r="B55" s="117" t="n"/>
      <c r="C55" s="117" t="n"/>
      <c r="D55" s="114" t="inlineStr">
        <is>
          <t>力積電(6770)</t>
        </is>
      </c>
      <c r="E55" s="115" t="n">
        <v>161</v>
      </c>
      <c r="F55" s="115" t="n">
        <v>130</v>
      </c>
      <c r="G55" s="115" t="n">
        <v>1196</v>
      </c>
      <c r="H55" s="115" t="n">
        <v>966</v>
      </c>
      <c r="I55" s="115" t="n">
        <v>230</v>
      </c>
      <c r="J55" s="116" t="n">
        <v>74.3</v>
      </c>
      <c r="K55" s="116" t="n">
        <v>74.3</v>
      </c>
      <c r="L55" s="220">
        <f>F55*(K55-J55)</f>
        <v/>
      </c>
    </row>
    <row r="56" ht="16.5" customHeight="1">
      <c r="A56" s="118" t="n"/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A57" s="117" t="n"/>
      <c r="B57" s="113" t="inlineStr">
        <is>
          <t>宏遠證券</t>
        </is>
      </c>
      <c r="C57" s="113" t="inlineStr">
        <is>
          <t>1260</t>
        </is>
      </c>
      <c r="D57" s="114" t="inlineStr">
        <is>
          <t>臻鼎-KY(4958)</t>
        </is>
      </c>
      <c r="E57" s="115" t="n">
        <v>1050</v>
      </c>
      <c r="F57" s="115" t="n">
        <v>6</v>
      </c>
      <c r="G57" s="115" t="n">
        <v>65178</v>
      </c>
      <c r="H57" s="115" t="n">
        <v>352</v>
      </c>
      <c r="I57" s="115" t="n">
        <v>64826</v>
      </c>
      <c r="J57" s="116" t="n">
        <v>620.74</v>
      </c>
      <c r="K57" s="116" t="n">
        <v>586.67</v>
      </c>
      <c r="L57" s="219">
        <f>F57*(K57-J57)</f>
        <v/>
      </c>
    </row>
    <row r="58" ht="16.5" customHeight="1">
      <c r="A58" s="117" t="n"/>
      <c r="B58" s="117" t="n"/>
      <c r="C58" s="117" t="n"/>
      <c r="D58" s="114" t="inlineStr">
        <is>
          <t>聯電(2303)</t>
        </is>
      </c>
      <c r="E58" s="115" t="n">
        <v>2637</v>
      </c>
      <c r="F58" s="115" t="n">
        <v>357</v>
      </c>
      <c r="G58" s="115" t="n">
        <v>44792</v>
      </c>
      <c r="H58" s="115" t="n">
        <v>6100</v>
      </c>
      <c r="I58" s="115" t="n">
        <v>38692</v>
      </c>
      <c r="J58" s="116" t="n">
        <v>169.86</v>
      </c>
      <c r="K58" s="116" t="n">
        <v>170.87</v>
      </c>
      <c r="L58" s="220">
        <f>F58*(K58-J58)</f>
        <v/>
      </c>
    </row>
    <row r="59" ht="16.5" customHeight="1">
      <c r="A59" s="117" t="n"/>
      <c r="B59" s="117" t="n"/>
      <c r="C59" s="117" t="n"/>
      <c r="D59" s="114" t="inlineStr">
        <is>
          <t>國巨*(2327)</t>
        </is>
      </c>
      <c r="E59" s="115" t="n">
        <v>291</v>
      </c>
      <c r="F59" s="115" t="n">
        <v>210</v>
      </c>
      <c r="G59" s="115" t="n">
        <v>34238</v>
      </c>
      <c r="H59" s="115" t="n">
        <v>24336</v>
      </c>
      <c r="I59" s="115" t="n">
        <v>9902</v>
      </c>
      <c r="J59" s="116" t="n">
        <v>1176.55</v>
      </c>
      <c r="K59" s="116" t="n">
        <v>1158.86</v>
      </c>
      <c r="L59" s="219">
        <f>F59*(K59-J59)</f>
        <v/>
      </c>
    </row>
    <row r="60" ht="16.5" customHeight="1">
      <c r="A60" s="117" t="n"/>
      <c r="B60" s="117" t="n"/>
      <c r="C60" s="117" t="n"/>
      <c r="D60" s="114" t="inlineStr">
        <is>
          <t>緯穎(6669)</t>
        </is>
      </c>
      <c r="E60" s="115" t="n">
        <v>49</v>
      </c>
      <c r="F60" s="115" t="n">
        <v>1</v>
      </c>
      <c r="G60" s="115" t="n">
        <v>24414</v>
      </c>
      <c r="H60" s="115" t="n">
        <v>486</v>
      </c>
      <c r="I60" s="115" t="n">
        <v>23928</v>
      </c>
      <c r="J60" s="116" t="n">
        <v>4982.41</v>
      </c>
      <c r="K60" s="116" t="n">
        <v>4855</v>
      </c>
      <c r="L60" s="219">
        <f>F60*(K60-J60)</f>
        <v/>
      </c>
    </row>
    <row r="61" ht="16.5" customHeight="1">
      <c r="A61" s="117" t="n"/>
      <c r="B61" s="117" t="n"/>
      <c r="C61" s="117" t="n"/>
      <c r="D61" s="114" t="inlineStr">
        <is>
          <t>台燿(6274)</t>
        </is>
      </c>
      <c r="E61" s="115" t="n">
        <v>49</v>
      </c>
      <c r="F61" s="115" t="n">
        <v>1</v>
      </c>
      <c r="G61" s="115" t="n">
        <v>8046</v>
      </c>
      <c r="H61" s="115" t="n">
        <v>179</v>
      </c>
      <c r="I61" s="115" t="n">
        <v>7867</v>
      </c>
      <c r="J61" s="116" t="n">
        <v>1642</v>
      </c>
      <c r="K61" s="116" t="n">
        <v>1786</v>
      </c>
      <c r="L61" s="220">
        <f>F61*(K61-J61)</f>
        <v/>
      </c>
    </row>
    <row r="62" ht="16.5" customHeight="1">
      <c r="A62" s="117" t="n"/>
      <c r="B62" s="117" t="n"/>
      <c r="C62" s="117" t="n"/>
      <c r="D62" s="114" t="inlineStr">
        <is>
          <t>致茂(2360)</t>
        </is>
      </c>
      <c r="E62" s="115" t="n">
        <v>31</v>
      </c>
      <c r="F62" s="115" t="n">
        <v>0</v>
      </c>
      <c r="G62" s="115" t="n">
        <v>7110</v>
      </c>
      <c r="H62" s="115" t="n">
        <v>0</v>
      </c>
      <c r="I62" s="115" t="n">
        <v>7110</v>
      </c>
      <c r="J62" s="116" t="n">
        <v>2293.39</v>
      </c>
      <c r="K62" s="116" t="n">
        <v>0</v>
      </c>
      <c r="L62" s="220">
        <f>F62*(K62-J62)</f>
        <v/>
      </c>
    </row>
    <row r="63" ht="16.5" customHeight="1">
      <c r="A63" s="117" t="n"/>
      <c r="B63" s="117" t="n"/>
      <c r="C63" s="117" t="n"/>
      <c r="D63" s="114" t="inlineStr">
        <is>
          <t>譜瑞-KY(4966)</t>
        </is>
      </c>
      <c r="E63" s="115" t="n">
        <v>92</v>
      </c>
      <c r="F63" s="115" t="n">
        <v>2</v>
      </c>
      <c r="G63" s="115" t="n">
        <v>5781</v>
      </c>
      <c r="H63" s="115" t="n">
        <v>124</v>
      </c>
      <c r="I63" s="115" t="n">
        <v>5657</v>
      </c>
      <c r="J63" s="116" t="n">
        <v>628.39</v>
      </c>
      <c r="K63" s="116" t="n">
        <v>622</v>
      </c>
      <c r="L63" s="219">
        <f>F63*(K63-J63)</f>
        <v/>
      </c>
    </row>
    <row r="64" ht="16.5" customHeight="1">
      <c r="A64" s="117" t="n"/>
      <c r="B64" s="117" t="n"/>
      <c r="C64" s="117" t="n"/>
      <c r="D64" s="114" t="inlineStr">
        <is>
          <t>聯發科(2454)</t>
        </is>
      </c>
      <c r="E64" s="115" t="n">
        <v>13</v>
      </c>
      <c r="F64" s="115" t="n">
        <v>8</v>
      </c>
      <c r="G64" s="115" t="n">
        <v>5645</v>
      </c>
      <c r="H64" s="115" t="n">
        <v>3448</v>
      </c>
      <c r="I64" s="115" t="n">
        <v>2197</v>
      </c>
      <c r="J64" s="116" t="n">
        <v>4342.15</v>
      </c>
      <c r="K64" s="116" t="n">
        <v>4310</v>
      </c>
      <c r="L64" s="219">
        <f>F64*(K64-J64)</f>
        <v/>
      </c>
    </row>
    <row r="65" ht="16.5" customHeight="1">
      <c r="A65" s="117" t="n"/>
      <c r="B65" s="117" t="n"/>
      <c r="C65" s="117" t="n"/>
      <c r="D65" s="114" t="inlineStr">
        <is>
          <t>聯亞(3081)</t>
        </is>
      </c>
      <c r="E65" s="115" t="n">
        <v>25</v>
      </c>
      <c r="F65" s="115" t="n">
        <v>0</v>
      </c>
      <c r="G65" s="115" t="n">
        <v>4975</v>
      </c>
      <c r="H65" s="115" t="n">
        <v>0</v>
      </c>
      <c r="I65" s="115" t="n">
        <v>4975</v>
      </c>
      <c r="J65" s="116" t="n">
        <v>1990</v>
      </c>
      <c r="K65" s="116" t="n">
        <v>0</v>
      </c>
      <c r="L65" s="220">
        <f>F65*(K65-J65)</f>
        <v/>
      </c>
    </row>
    <row r="66" ht="16.5" customHeight="1">
      <c r="A66" s="117" t="n"/>
      <c r="B66" s="117" t="n"/>
      <c r="C66" s="117" t="n"/>
      <c r="D66" s="114" t="inlineStr">
        <is>
          <t>至上(8112)</t>
        </is>
      </c>
      <c r="E66" s="115" t="n">
        <v>503</v>
      </c>
      <c r="F66" s="115" t="n">
        <v>7</v>
      </c>
      <c r="G66" s="115" t="n">
        <v>4590</v>
      </c>
      <c r="H66" s="115" t="n">
        <v>63</v>
      </c>
      <c r="I66" s="115" t="n">
        <v>4527</v>
      </c>
      <c r="J66" s="116" t="n">
        <v>91.23999999999999</v>
      </c>
      <c r="K66" s="116" t="n">
        <v>89.70999999999999</v>
      </c>
      <c r="L66" s="219">
        <f>F66*(K66-J66)</f>
        <v/>
      </c>
    </row>
    <row r="67" ht="16.5" customHeight="1">
      <c r="A67" s="118" t="n"/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A68" s="117" t="n"/>
      <c r="B68" s="113" t="inlineStr">
        <is>
          <t>凱基-信義</t>
        </is>
      </c>
      <c r="C68" s="113" t="inlineStr">
        <is>
          <t>9216</t>
        </is>
      </c>
      <c r="D68" s="114" t="inlineStr">
        <is>
          <t>中美晶(5483)</t>
        </is>
      </c>
      <c r="E68" s="115" t="n">
        <v>7199</v>
      </c>
      <c r="F68" s="115" t="n">
        <v>2705</v>
      </c>
      <c r="G68" s="115" t="n">
        <v>142537</v>
      </c>
      <c r="H68" s="115" t="n">
        <v>53554</v>
      </c>
      <c r="I68" s="115" t="n">
        <v>88983</v>
      </c>
      <c r="J68" s="116" t="n">
        <v>198</v>
      </c>
      <c r="K68" s="116" t="n">
        <v>197.98</v>
      </c>
      <c r="L68" s="219">
        <f>F68*(K68-J68)</f>
        <v/>
      </c>
    </row>
    <row r="69" ht="16.5" customHeight="1">
      <c r="A69" s="117" t="n"/>
      <c r="B69" s="117" t="n"/>
      <c r="C69" s="117" t="n"/>
      <c r="D69" s="114" t="inlineStr">
        <is>
          <t>南茂(8150)</t>
        </is>
      </c>
      <c r="E69" s="115" t="n">
        <v>5518</v>
      </c>
      <c r="F69" s="115" t="n">
        <v>3830</v>
      </c>
      <c r="G69" s="115" t="n">
        <v>59823</v>
      </c>
      <c r="H69" s="115" t="n">
        <v>40967</v>
      </c>
      <c r="I69" s="115" t="n">
        <v>18856</v>
      </c>
      <c r="J69" s="116" t="n">
        <v>108.41</v>
      </c>
      <c r="K69" s="116" t="n">
        <v>106.96</v>
      </c>
      <c r="L69" s="219">
        <f>F69*(K69-J69)</f>
        <v/>
      </c>
    </row>
    <row r="70" ht="16.5" customHeight="1">
      <c r="A70" s="117" t="n"/>
      <c r="B70" s="117" t="n"/>
      <c r="C70" s="117" t="n"/>
      <c r="D70" s="114" t="inlineStr">
        <is>
          <t>頎邦(6147)</t>
        </is>
      </c>
      <c r="E70" s="115" t="n">
        <v>1584</v>
      </c>
      <c r="F70" s="115" t="n">
        <v>1431</v>
      </c>
      <c r="G70" s="115" t="n">
        <v>36529</v>
      </c>
      <c r="H70" s="115" t="n">
        <v>32507</v>
      </c>
      <c r="I70" s="115" t="n">
        <v>4022</v>
      </c>
      <c r="J70" s="116" t="n">
        <v>230.61</v>
      </c>
      <c r="K70" s="116" t="n">
        <v>227.16</v>
      </c>
      <c r="L70" s="219">
        <f>F70*(K70-J70)</f>
        <v/>
      </c>
    </row>
    <row r="71" ht="16.5" customHeight="1">
      <c r="A71" s="117" t="n"/>
      <c r="B71" s="117" t="n"/>
      <c r="C71" s="117" t="n"/>
      <c r="D71" s="114" t="inlineStr">
        <is>
          <t>九豪(6127)</t>
        </is>
      </c>
      <c r="E71" s="115" t="n">
        <v>2119</v>
      </c>
      <c r="F71" s="115" t="n">
        <v>2076</v>
      </c>
      <c r="G71" s="115" t="n">
        <v>20532</v>
      </c>
      <c r="H71" s="115" t="n">
        <v>20120</v>
      </c>
      <c r="I71" s="115" t="n">
        <v>412</v>
      </c>
      <c r="J71" s="116" t="n">
        <v>96.90000000000001</v>
      </c>
      <c r="K71" s="116" t="n">
        <v>96.92</v>
      </c>
      <c r="L71" s="220">
        <f>F71*(K71-J71)</f>
        <v/>
      </c>
    </row>
    <row r="72" ht="16.5" customHeight="1">
      <c r="A72" s="117" t="n"/>
      <c r="B72" s="117" t="n"/>
      <c r="C72" s="117" t="n"/>
      <c r="D72" s="114" t="inlineStr">
        <is>
          <t>京元電子(2449)</t>
        </is>
      </c>
      <c r="E72" s="115" t="n">
        <v>288</v>
      </c>
      <c r="F72" s="115" t="n">
        <v>12</v>
      </c>
      <c r="G72" s="115" t="n">
        <v>9884</v>
      </c>
      <c r="H72" s="115" t="n">
        <v>404</v>
      </c>
      <c r="I72" s="115" t="n">
        <v>9480</v>
      </c>
      <c r="J72" s="116" t="n">
        <v>343.18</v>
      </c>
      <c r="K72" s="116" t="n">
        <v>336.33</v>
      </c>
      <c r="L72" s="219">
        <f>F72*(K72-J72)</f>
        <v/>
      </c>
    </row>
    <row r="73" ht="16.5" customHeight="1">
      <c r="A73" s="117" t="n"/>
      <c r="B73" s="117" t="n"/>
      <c r="C73" s="117" t="n"/>
      <c r="D73" s="114" t="inlineStr">
        <is>
          <t>合晶(6182)</t>
        </is>
      </c>
      <c r="E73" s="115" t="n">
        <v>638</v>
      </c>
      <c r="F73" s="115" t="n">
        <v>302</v>
      </c>
      <c r="G73" s="115" t="n">
        <v>8613</v>
      </c>
      <c r="H73" s="115" t="n">
        <v>4078</v>
      </c>
      <c r="I73" s="115" t="n">
        <v>4535</v>
      </c>
      <c r="J73" s="116" t="n">
        <v>135</v>
      </c>
      <c r="K73" s="116" t="n">
        <v>135.05</v>
      </c>
      <c r="L73" s="220">
        <f>F73*(K73-J73)</f>
        <v/>
      </c>
    </row>
    <row r="74" ht="16.5" customHeight="1">
      <c r="A74" s="117" t="n"/>
      <c r="B74" s="117" t="n"/>
      <c r="C74" s="117" t="n"/>
      <c r="D74" s="114" t="inlineStr">
        <is>
          <t>牧德(3563)</t>
        </is>
      </c>
      <c r="E74" s="115" t="n">
        <v>100</v>
      </c>
      <c r="F74" s="115" t="n">
        <v>1</v>
      </c>
      <c r="G74" s="115" t="n">
        <v>7780</v>
      </c>
      <c r="H74" s="115" t="n">
        <v>100</v>
      </c>
      <c r="I74" s="115" t="n">
        <v>7680</v>
      </c>
      <c r="J74" s="116" t="n">
        <v>778</v>
      </c>
      <c r="K74" s="116" t="n">
        <v>1005</v>
      </c>
      <c r="L74" s="220">
        <f>F74*(K74-J74)</f>
        <v/>
      </c>
    </row>
    <row r="75" ht="16.5" customHeight="1">
      <c r="A75" s="117" t="n"/>
      <c r="B75" s="117" t="n"/>
      <c r="C75" s="117" t="n"/>
      <c r="D75" s="114" t="inlineStr">
        <is>
          <t>東捷(8064)</t>
        </is>
      </c>
      <c r="E75" s="115" t="n">
        <v>308</v>
      </c>
      <c r="F75" s="115" t="n">
        <v>203</v>
      </c>
      <c r="G75" s="115" t="n">
        <v>4803</v>
      </c>
      <c r="H75" s="115" t="n">
        <v>3020</v>
      </c>
      <c r="I75" s="115" t="n">
        <v>1783</v>
      </c>
      <c r="J75" s="116" t="n">
        <v>155.95</v>
      </c>
      <c r="K75" s="116" t="n">
        <v>148.79</v>
      </c>
      <c r="L75" s="219">
        <f>F75*(K75-J75)</f>
        <v/>
      </c>
    </row>
    <row r="76" ht="16.5" customHeight="1">
      <c r="A76" s="117" t="n"/>
      <c r="B76" s="117" t="n"/>
      <c r="C76" s="117" t="n"/>
      <c r="D76" s="114" t="inlineStr">
        <is>
          <t>台嘉碩(3221)</t>
        </is>
      </c>
      <c r="E76" s="115" t="n">
        <v>722</v>
      </c>
      <c r="F76" s="115" t="n">
        <v>635</v>
      </c>
      <c r="G76" s="115" t="n">
        <v>4648</v>
      </c>
      <c r="H76" s="115" t="n">
        <v>4062</v>
      </c>
      <c r="I76" s="115" t="n">
        <v>586</v>
      </c>
      <c r="J76" s="116" t="n">
        <v>64.37</v>
      </c>
      <c r="K76" s="116" t="n">
        <v>63.96</v>
      </c>
      <c r="L76" s="219">
        <f>F76*(K76-J76)</f>
        <v/>
      </c>
    </row>
    <row r="77" ht="16.5" customHeight="1">
      <c r="A77" s="117" t="n"/>
      <c r="B77" s="117" t="n"/>
      <c r="C77" s="117" t="n"/>
      <c r="D77" s="114" t="inlineStr">
        <is>
          <t>台表科(6278)</t>
        </is>
      </c>
      <c r="E77" s="115" t="n">
        <v>215</v>
      </c>
      <c r="F77" s="115" t="n">
        <v>4</v>
      </c>
      <c r="G77" s="115" t="n">
        <v>4612</v>
      </c>
      <c r="H77" s="115" t="n">
        <v>83</v>
      </c>
      <c r="I77" s="115" t="n">
        <v>4529</v>
      </c>
      <c r="J77" s="116" t="n">
        <v>214.49</v>
      </c>
      <c r="K77" s="116" t="n">
        <v>208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聯電(2303)</t>
        </is>
      </c>
      <c r="E79" s="122" t="n">
        <v>3182</v>
      </c>
      <c r="F79" s="122" t="n">
        <v>341</v>
      </c>
      <c r="G79" s="122" t="n">
        <v>54351</v>
      </c>
      <c r="H79" s="122" t="n">
        <v>5775</v>
      </c>
      <c r="I79" s="122" t="n">
        <v>48576</v>
      </c>
      <c r="J79" s="123" t="n">
        <v>170.81</v>
      </c>
      <c r="K79" s="123" t="n">
        <v>169.35</v>
      </c>
      <c r="L79" s="219">
        <f>F79*(K79-J79)</f>
        <v/>
      </c>
    </row>
    <row r="80" ht="16.5" customHeight="1">
      <c r="A80" s="124" t="n"/>
      <c r="B80" s="124" t="n"/>
      <c r="C80" s="124" t="n"/>
      <c r="D80" s="121" t="inlineStr">
        <is>
          <t>合晶(6182)</t>
        </is>
      </c>
      <c r="E80" s="122" t="n">
        <v>1214</v>
      </c>
      <c r="F80" s="122" t="n">
        <v>51</v>
      </c>
      <c r="G80" s="122" t="n">
        <v>16389</v>
      </c>
      <c r="H80" s="122" t="n">
        <v>695</v>
      </c>
      <c r="I80" s="122" t="n">
        <v>15694</v>
      </c>
      <c r="J80" s="123" t="n">
        <v>135</v>
      </c>
      <c r="K80" s="123" t="n">
        <v>136.25</v>
      </c>
      <c r="L80" s="220">
        <f>F80*(K80-J80)</f>
        <v/>
      </c>
    </row>
    <row r="81" ht="16.5" customHeight="1">
      <c r="A81" s="124" t="n"/>
      <c r="B81" s="124" t="n"/>
      <c r="C81" s="124" t="n"/>
      <c r="D81" s="121" t="inlineStr">
        <is>
          <t>台光電(2383)</t>
        </is>
      </c>
      <c r="E81" s="122" t="n">
        <v>30</v>
      </c>
      <c r="F81" s="122" t="n">
        <v>1</v>
      </c>
      <c r="G81" s="122" t="n">
        <v>16366</v>
      </c>
      <c r="H81" s="122" t="n">
        <v>100</v>
      </c>
      <c r="I81" s="122" t="n">
        <v>16266</v>
      </c>
      <c r="J81" s="123" t="n">
        <v>5455.23</v>
      </c>
      <c r="K81" s="123" t="n">
        <v>998</v>
      </c>
      <c r="L81" s="219">
        <f>F81*(K81-J81)</f>
        <v/>
      </c>
    </row>
    <row r="82" ht="16.5" customHeight="1">
      <c r="A82" s="124" t="n"/>
      <c r="B82" s="124" t="n"/>
      <c r="C82" s="124" t="n"/>
      <c r="D82" s="121" t="inlineStr">
        <is>
          <t>凱美(2375)</t>
        </is>
      </c>
      <c r="E82" s="122" t="n">
        <v>566</v>
      </c>
      <c r="F82" s="122" t="n">
        <v>27</v>
      </c>
      <c r="G82" s="122" t="n">
        <v>13155</v>
      </c>
      <c r="H82" s="122" t="n">
        <v>618</v>
      </c>
      <c r="I82" s="122" t="n">
        <v>12537</v>
      </c>
      <c r="J82" s="123" t="n">
        <v>232.43</v>
      </c>
      <c r="K82" s="123" t="n">
        <v>228.7</v>
      </c>
      <c r="L82" s="219">
        <f>F82*(K82-J82)</f>
        <v/>
      </c>
    </row>
    <row r="83" ht="16.5" customHeight="1">
      <c r="A83" s="124" t="n"/>
      <c r="B83" s="124" t="n"/>
      <c r="C83" s="124" t="n"/>
      <c r="D83" s="121" t="inlineStr">
        <is>
          <t>緯穎(6669)</t>
        </is>
      </c>
      <c r="E83" s="122" t="n">
        <v>26</v>
      </c>
      <c r="F83" s="122" t="n">
        <v>3</v>
      </c>
      <c r="G83" s="122" t="n">
        <v>12964</v>
      </c>
      <c r="H83" s="122" t="n">
        <v>1493</v>
      </c>
      <c r="I83" s="122" t="n">
        <v>11471</v>
      </c>
      <c r="J83" s="123" t="n">
        <v>4985.96</v>
      </c>
      <c r="K83" s="123" t="n">
        <v>4976.67</v>
      </c>
      <c r="L83" s="219">
        <f>F83*(K83-J83)</f>
        <v/>
      </c>
    </row>
    <row r="84" ht="16.5" customHeight="1">
      <c r="A84" s="124" t="n"/>
      <c r="B84" s="124" t="n"/>
      <c r="C84" s="124" t="n"/>
      <c r="D84" s="121" t="inlineStr">
        <is>
          <t>同欣電(6271)</t>
        </is>
      </c>
      <c r="E84" s="122" t="n">
        <v>419</v>
      </c>
      <c r="F84" s="122" t="n">
        <v>31</v>
      </c>
      <c r="G84" s="122" t="n">
        <v>12279</v>
      </c>
      <c r="H84" s="122" t="n">
        <v>904</v>
      </c>
      <c r="I84" s="122" t="n">
        <v>11375</v>
      </c>
      <c r="J84" s="123" t="n">
        <v>293.05</v>
      </c>
      <c r="K84" s="123" t="n">
        <v>291.58</v>
      </c>
      <c r="L84" s="219">
        <f>F84*(K84-J84)</f>
        <v/>
      </c>
    </row>
    <row r="85" ht="16.5" customHeight="1">
      <c r="A85" s="124" t="n"/>
      <c r="B85" s="124" t="n"/>
      <c r="C85" s="124" t="n"/>
      <c r="D85" s="121" t="inlineStr">
        <is>
          <t>華邦電(2344)</t>
        </is>
      </c>
      <c r="E85" s="122" t="n">
        <v>572</v>
      </c>
      <c r="F85" s="122" t="n">
        <v>291</v>
      </c>
      <c r="G85" s="122" t="n">
        <v>11161</v>
      </c>
      <c r="H85" s="122" t="n">
        <v>5672</v>
      </c>
      <c r="I85" s="122" t="n">
        <v>5489</v>
      </c>
      <c r="J85" s="123" t="n">
        <v>195.13</v>
      </c>
      <c r="K85" s="123" t="n">
        <v>194.9</v>
      </c>
      <c r="L85" s="219">
        <f>F85*(K85-J85)</f>
        <v/>
      </c>
    </row>
    <row r="86" ht="16.5" customHeight="1">
      <c r="A86" s="124" t="n"/>
      <c r="B86" s="124" t="n"/>
      <c r="C86" s="124" t="n"/>
      <c r="D86" s="121" t="inlineStr">
        <is>
          <t>蜜望實(8043)</t>
        </is>
      </c>
      <c r="E86" s="122" t="n">
        <v>483</v>
      </c>
      <c r="F86" s="122" t="n">
        <v>7</v>
      </c>
      <c r="G86" s="122" t="n">
        <v>10287</v>
      </c>
      <c r="H86" s="122" t="n">
        <v>148</v>
      </c>
      <c r="I86" s="122" t="n">
        <v>10139</v>
      </c>
      <c r="J86" s="123" t="n">
        <v>212.98</v>
      </c>
      <c r="K86" s="123" t="n">
        <v>211.86</v>
      </c>
      <c r="L86" s="219">
        <f>F86*(K86-J86)</f>
        <v/>
      </c>
    </row>
    <row r="87" ht="16.5" customHeight="1">
      <c r="A87" s="124" t="n"/>
      <c r="B87" s="124" t="n"/>
      <c r="C87" s="124" t="n"/>
      <c r="D87" s="121" t="inlineStr">
        <is>
          <t>奇鋐(3017)</t>
        </is>
      </c>
      <c r="E87" s="122" t="n">
        <v>35</v>
      </c>
      <c r="F87" s="122" t="n">
        <v>12</v>
      </c>
      <c r="G87" s="122" t="n">
        <v>9063</v>
      </c>
      <c r="H87" s="122" t="n">
        <v>3104</v>
      </c>
      <c r="I87" s="122" t="n">
        <v>5959</v>
      </c>
      <c r="J87" s="123" t="n">
        <v>2589.43</v>
      </c>
      <c r="K87" s="123" t="n">
        <v>2586.33</v>
      </c>
      <c r="L87" s="219">
        <f>F87*(K87-J87)</f>
        <v/>
      </c>
    </row>
    <row r="88" ht="16.5" customHeight="1">
      <c r="A88" s="124" t="n"/>
      <c r="B88" s="124" t="n"/>
      <c r="C88" s="124" t="n"/>
      <c r="D88" s="121" t="inlineStr">
        <is>
          <t>華容(5328)</t>
        </is>
      </c>
      <c r="E88" s="122" t="n">
        <v>886</v>
      </c>
      <c r="F88" s="122" t="n">
        <v>572</v>
      </c>
      <c r="G88" s="122" t="n">
        <v>6915</v>
      </c>
      <c r="H88" s="122" t="n">
        <v>4385</v>
      </c>
      <c r="I88" s="122" t="n">
        <v>2530</v>
      </c>
      <c r="J88" s="123" t="n">
        <v>78.04000000000001</v>
      </c>
      <c r="K88" s="123" t="n">
        <v>76.67</v>
      </c>
      <c r="L88" s="219">
        <f>F88*(K88-J88)</f>
        <v/>
      </c>
    </row>
    <row r="89" ht="16.5" customHeight="1">
      <c r="A89" s="125" t="n"/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A90" s="124" t="n"/>
      <c r="B90" s="120" t="inlineStr">
        <is>
          <t>台新-城中</t>
        </is>
      </c>
      <c r="C90" s="120" t="inlineStr">
        <is>
          <t>9B2E</t>
        </is>
      </c>
      <c r="D90" s="121" t="inlineStr">
        <is>
          <t>群創(3481)</t>
        </is>
      </c>
      <c r="E90" s="122" t="n">
        <v>2921</v>
      </c>
      <c r="F90" s="122" t="n">
        <v>2689</v>
      </c>
      <c r="G90" s="122" t="n">
        <v>20351</v>
      </c>
      <c r="H90" s="122" t="n">
        <v>18611</v>
      </c>
      <c r="I90" s="122" t="n">
        <v>1740</v>
      </c>
      <c r="J90" s="123" t="n">
        <v>69.67</v>
      </c>
      <c r="K90" s="123" t="n">
        <v>69.20999999999999</v>
      </c>
      <c r="L90" s="219">
        <f>F90*(K90-J90)</f>
        <v/>
      </c>
    </row>
    <row r="91" ht="16.5" customHeight="1">
      <c r="A91" s="124" t="n"/>
      <c r="B91" s="124" t="n"/>
      <c r="C91" s="124" t="n"/>
      <c r="D91" s="121" t="inlineStr">
        <is>
          <t>華邦電(2344)</t>
        </is>
      </c>
      <c r="E91" s="122" t="n">
        <v>537</v>
      </c>
      <c r="F91" s="122" t="n">
        <v>500</v>
      </c>
      <c r="G91" s="122" t="n">
        <v>10481</v>
      </c>
      <c r="H91" s="122" t="n">
        <v>9959</v>
      </c>
      <c r="I91" s="122" t="n">
        <v>522</v>
      </c>
      <c r="J91" s="123" t="n">
        <v>195.18</v>
      </c>
      <c r="K91" s="123" t="n">
        <v>199.19</v>
      </c>
      <c r="L91" s="220">
        <f>F91*(K91-J91)</f>
        <v/>
      </c>
    </row>
    <row r="92" ht="16.5" customHeight="1">
      <c r="A92" s="124" t="n"/>
      <c r="B92" s="124" t="n"/>
      <c r="C92" s="124" t="n"/>
      <c r="D92" s="121" t="inlineStr">
        <is>
          <t>南亞科(2408)</t>
        </is>
      </c>
      <c r="E92" s="122" t="n">
        <v>227</v>
      </c>
      <c r="F92" s="122" t="n">
        <v>186</v>
      </c>
      <c r="G92" s="122" t="n">
        <v>9726</v>
      </c>
      <c r="H92" s="122" t="n">
        <v>8174</v>
      </c>
      <c r="I92" s="122" t="n">
        <v>1552</v>
      </c>
      <c r="J92" s="123" t="n">
        <v>428.45</v>
      </c>
      <c r="K92" s="123" t="n">
        <v>439.48</v>
      </c>
      <c r="L92" s="220">
        <f>F92*(K92-J92)</f>
        <v/>
      </c>
    </row>
    <row r="93" ht="16.5" customHeight="1">
      <c r="A93" s="124" t="n"/>
      <c r="B93" s="124" t="n"/>
      <c r="C93" s="124" t="n"/>
      <c r="D93" s="121" t="inlineStr">
        <is>
          <t>聯電(2303)</t>
        </is>
      </c>
      <c r="E93" s="122" t="n">
        <v>271</v>
      </c>
      <c r="F93" s="122" t="n">
        <v>135</v>
      </c>
      <c r="G93" s="122" t="n">
        <v>4647</v>
      </c>
      <c r="H93" s="122" t="n">
        <v>2300</v>
      </c>
      <c r="I93" s="122" t="n">
        <v>2347</v>
      </c>
      <c r="J93" s="123" t="n">
        <v>171.46</v>
      </c>
      <c r="K93" s="123" t="n">
        <v>170.39</v>
      </c>
      <c r="L93" s="219">
        <f>F93*(K93-J93)</f>
        <v/>
      </c>
    </row>
    <row r="94" ht="16.5" customHeight="1">
      <c r="A94" s="124" t="n"/>
      <c r="B94" s="124" t="n"/>
      <c r="C94" s="124" t="n"/>
      <c r="D94" s="121" t="inlineStr">
        <is>
          <t>日月光投控(3711)</t>
        </is>
      </c>
      <c r="E94" s="122" t="n">
        <v>45</v>
      </c>
      <c r="F94" s="122" t="n">
        <v>24</v>
      </c>
      <c r="G94" s="122" t="n">
        <v>3141</v>
      </c>
      <c r="H94" s="122" t="n">
        <v>1692</v>
      </c>
      <c r="I94" s="122" t="n">
        <v>1449</v>
      </c>
      <c r="J94" s="123" t="n">
        <v>697.9299999999999</v>
      </c>
      <c r="K94" s="123" t="n">
        <v>705.04</v>
      </c>
      <c r="L94" s="220">
        <f>F94*(K94-J94)</f>
        <v/>
      </c>
    </row>
    <row r="95" ht="16.5" customHeight="1">
      <c r="A95" s="124" t="n"/>
      <c r="B95" s="124" t="n"/>
      <c r="C95" s="124" t="n"/>
      <c r="D95" s="121" t="inlineStr">
        <is>
          <t>旺宏(2337)</t>
        </is>
      </c>
      <c r="E95" s="122" t="n">
        <v>181</v>
      </c>
      <c r="F95" s="122" t="n">
        <v>94</v>
      </c>
      <c r="G95" s="122" t="n">
        <v>2702</v>
      </c>
      <c r="H95" s="122" t="n">
        <v>1369</v>
      </c>
      <c r="I95" s="122" t="n">
        <v>1333</v>
      </c>
      <c r="J95" s="123" t="n">
        <v>149.28</v>
      </c>
      <c r="K95" s="123" t="n">
        <v>145.61</v>
      </c>
      <c r="L95" s="219">
        <f>F95*(K95-J95)</f>
        <v/>
      </c>
    </row>
    <row r="96" ht="16.5" customHeight="1">
      <c r="A96" s="124" t="n"/>
      <c r="B96" s="124" t="n"/>
      <c r="C96" s="124" t="n"/>
      <c r="D96" s="121" t="inlineStr">
        <is>
          <t>群聯(8299)</t>
        </is>
      </c>
      <c r="E96" s="122" t="n">
        <v>11</v>
      </c>
      <c r="F96" s="122" t="n">
        <v>1</v>
      </c>
      <c r="G96" s="122" t="n">
        <v>2488</v>
      </c>
      <c r="H96" s="122" t="n">
        <v>64</v>
      </c>
      <c r="I96" s="122" t="n">
        <v>2424</v>
      </c>
      <c r="J96" s="123" t="n">
        <v>2261.91</v>
      </c>
      <c r="K96" s="123" t="n">
        <v>636</v>
      </c>
      <c r="L96" s="219">
        <f>F96*(K96-J96)</f>
        <v/>
      </c>
    </row>
    <row r="97" ht="16.5" customHeight="1">
      <c r="A97" s="124" t="n"/>
      <c r="B97" s="124" t="n"/>
      <c r="C97" s="124" t="n"/>
      <c r="D97" s="121" t="inlineStr">
        <is>
          <t>鴻海(2317)</t>
        </is>
      </c>
      <c r="E97" s="122" t="n">
        <v>86</v>
      </c>
      <c r="F97" s="122" t="n">
        <v>61</v>
      </c>
      <c r="G97" s="122" t="n">
        <v>2163</v>
      </c>
      <c r="H97" s="122" t="n">
        <v>1541</v>
      </c>
      <c r="I97" s="122" t="n">
        <v>622</v>
      </c>
      <c r="J97" s="123" t="n">
        <v>251.56</v>
      </c>
      <c r="K97" s="123" t="n">
        <v>252.66</v>
      </c>
      <c r="L97" s="220">
        <f>F97*(K97-J97)</f>
        <v/>
      </c>
    </row>
    <row r="98" ht="16.5" customHeight="1">
      <c r="A98" s="124" t="n"/>
      <c r="B98" s="124" t="n"/>
      <c r="C98" s="124" t="n"/>
      <c r="D98" s="121" t="inlineStr">
        <is>
          <t>友達(2409)</t>
        </is>
      </c>
      <c r="E98" s="122" t="n">
        <v>491</v>
      </c>
      <c r="F98" s="122" t="n">
        <v>406</v>
      </c>
      <c r="G98" s="122" t="n">
        <v>1580</v>
      </c>
      <c r="H98" s="122" t="n">
        <v>1280</v>
      </c>
      <c r="I98" s="122" t="n">
        <v>300</v>
      </c>
      <c r="J98" s="123" t="n">
        <v>32.18</v>
      </c>
      <c r="K98" s="123" t="n">
        <v>31.52</v>
      </c>
      <c r="L98" s="219">
        <f>F98*(K98-J98)</f>
        <v/>
      </c>
    </row>
    <row r="99" ht="16.5" customHeight="1">
      <c r="A99" s="124" t="n"/>
      <c r="B99" s="124" t="n"/>
      <c r="C99" s="124" t="n"/>
      <c r="D99" s="121" t="inlineStr">
        <is>
          <t>鴻勁(7769)</t>
        </is>
      </c>
      <c r="E99" s="122" t="n">
        <v>2</v>
      </c>
      <c r="F99" s="122" t="n">
        <v>1</v>
      </c>
      <c r="G99" s="122" t="n">
        <v>1411</v>
      </c>
      <c r="H99" s="122" t="n">
        <v>19</v>
      </c>
      <c r="I99" s="122" t="n">
        <v>1392</v>
      </c>
      <c r="J99" s="123" t="n">
        <v>7057</v>
      </c>
      <c r="K99" s="123" t="n">
        <v>190</v>
      </c>
      <c r="L99" s="219">
        <f>F99*(K99-J99)</f>
        <v/>
      </c>
    </row>
    <row r="100" ht="16.5" customHeight="1">
      <c r="A100" s="125" t="n"/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A101" s="124" t="n"/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晶技(3042)</t>
        </is>
      </c>
      <c r="E101" s="122" t="n">
        <v>3380</v>
      </c>
      <c r="F101" s="122" t="n">
        <v>59</v>
      </c>
      <c r="G101" s="122" t="n">
        <v>69626</v>
      </c>
      <c r="H101" s="122" t="n">
        <v>1213</v>
      </c>
      <c r="I101" s="122" t="n">
        <v>68413</v>
      </c>
      <c r="J101" s="123" t="n">
        <v>205.99</v>
      </c>
      <c r="K101" s="123" t="n">
        <v>205.63</v>
      </c>
      <c r="L101" s="219">
        <f>F101*(K101-J101)</f>
        <v/>
      </c>
    </row>
    <row r="102" ht="16.5" customHeight="1">
      <c r="A102" s="124" t="n"/>
      <c r="B102" s="124" t="n"/>
      <c r="C102" s="124" t="n"/>
      <c r="D102" s="121" t="inlineStr">
        <is>
          <t>聯發科(2454)</t>
        </is>
      </c>
      <c r="E102" s="122" t="n">
        <v>38</v>
      </c>
      <c r="F102" s="122" t="n">
        <v>30</v>
      </c>
      <c r="G102" s="122" t="n">
        <v>16396</v>
      </c>
      <c r="H102" s="122" t="n">
        <v>12844</v>
      </c>
      <c r="I102" s="122" t="n">
        <v>3552</v>
      </c>
      <c r="J102" s="123" t="n">
        <v>4314.61</v>
      </c>
      <c r="K102" s="123" t="n">
        <v>4281.33</v>
      </c>
      <c r="L102" s="219">
        <f>F102*(K102-J102)</f>
        <v/>
      </c>
    </row>
    <row r="103" ht="16.5" customHeight="1">
      <c r="A103" s="124" t="n"/>
      <c r="B103" s="124" t="n"/>
      <c r="C103" s="124" t="n"/>
      <c r="D103" s="121" t="inlineStr">
        <is>
          <t>聯電(2303)</t>
        </is>
      </c>
      <c r="E103" s="122" t="n">
        <v>934</v>
      </c>
      <c r="F103" s="122" t="n">
        <v>802</v>
      </c>
      <c r="G103" s="122" t="n">
        <v>15835</v>
      </c>
      <c r="H103" s="122" t="n">
        <v>13625</v>
      </c>
      <c r="I103" s="122" t="n">
        <v>2210</v>
      </c>
      <c r="J103" s="123" t="n">
        <v>169.54</v>
      </c>
      <c r="K103" s="123" t="n">
        <v>169.89</v>
      </c>
      <c r="L103" s="220">
        <f>F103*(K103-J103)</f>
        <v/>
      </c>
    </row>
    <row r="104" ht="16.5" customHeight="1">
      <c r="A104" s="124" t="n"/>
      <c r="B104" s="124" t="n"/>
      <c r="C104" s="124" t="n"/>
      <c r="D104" s="121" t="inlineStr">
        <is>
          <t>世芯-KY(3661)</t>
        </is>
      </c>
      <c r="E104" s="122" t="n">
        <v>34</v>
      </c>
      <c r="F104" s="122" t="n">
        <v>5</v>
      </c>
      <c r="G104" s="122" t="n">
        <v>15132</v>
      </c>
      <c r="H104" s="122" t="n">
        <v>2247</v>
      </c>
      <c r="I104" s="122" t="n">
        <v>12885</v>
      </c>
      <c r="J104" s="123" t="n">
        <v>4450.47</v>
      </c>
      <c r="K104" s="123" t="n">
        <v>4493.2</v>
      </c>
      <c r="L104" s="220">
        <f>F104*(K104-J104)</f>
        <v/>
      </c>
    </row>
    <row r="105" ht="16.5" customHeight="1">
      <c r="A105" s="124" t="n"/>
      <c r="B105" s="124" t="n"/>
      <c r="C105" s="124" t="n"/>
      <c r="D105" s="121" t="inlineStr">
        <is>
          <t>聯亞(3081)</t>
        </is>
      </c>
      <c r="E105" s="122" t="n">
        <v>71</v>
      </c>
      <c r="F105" s="122" t="n">
        <v>4</v>
      </c>
      <c r="G105" s="122" t="n">
        <v>14022</v>
      </c>
      <c r="H105" s="122" t="n">
        <v>822</v>
      </c>
      <c r="I105" s="122" t="n">
        <v>13200</v>
      </c>
      <c r="J105" s="123" t="n">
        <v>1974.94</v>
      </c>
      <c r="K105" s="123" t="n">
        <v>2054.5</v>
      </c>
      <c r="L105" s="220">
        <f>F105*(K105-J105)</f>
        <v/>
      </c>
    </row>
    <row r="106" ht="16.5" customHeight="1">
      <c r="A106" s="124" t="n"/>
      <c r="B106" s="124" t="n"/>
      <c r="C106" s="124" t="n"/>
      <c r="D106" s="121" t="inlineStr">
        <is>
          <t>聯策(6658)</t>
        </is>
      </c>
      <c r="E106" s="122" t="n">
        <v>541</v>
      </c>
      <c r="F106" s="122" t="n">
        <v>7</v>
      </c>
      <c r="G106" s="122" t="n">
        <v>13904</v>
      </c>
      <c r="H106" s="122" t="n">
        <v>182</v>
      </c>
      <c r="I106" s="122" t="n">
        <v>13722</v>
      </c>
      <c r="J106" s="123" t="n">
        <v>257</v>
      </c>
      <c r="K106" s="123" t="n">
        <v>260</v>
      </c>
      <c r="L106" s="220">
        <f>F106*(K106-J106)</f>
        <v/>
      </c>
    </row>
    <row r="107" ht="16.5" customHeight="1">
      <c r="A107" s="124" t="n"/>
      <c r="B107" s="124" t="n"/>
      <c r="C107" s="124" t="n"/>
      <c r="D107" s="121" t="inlineStr">
        <is>
          <t>技嘉(2376)</t>
        </is>
      </c>
      <c r="E107" s="122" t="n">
        <v>204</v>
      </c>
      <c r="F107" s="122" t="n">
        <v>3</v>
      </c>
      <c r="G107" s="122" t="n">
        <v>7044</v>
      </c>
      <c r="H107" s="122" t="n">
        <v>106</v>
      </c>
      <c r="I107" s="122" t="n">
        <v>6938</v>
      </c>
      <c r="J107" s="123" t="n">
        <v>345.31</v>
      </c>
      <c r="K107" s="123" t="n">
        <v>354.33</v>
      </c>
      <c r="L107" s="220">
        <f>F107*(K107-J107)</f>
        <v/>
      </c>
    </row>
    <row r="108" ht="16.5" customHeight="1">
      <c r="A108" s="124" t="n"/>
      <c r="B108" s="124" t="n"/>
      <c r="C108" s="124" t="n"/>
      <c r="D108" s="121" t="inlineStr">
        <is>
          <t>聯嘉投控(3717)</t>
        </is>
      </c>
      <c r="E108" s="122" t="n">
        <v>2067</v>
      </c>
      <c r="F108" s="122" t="n">
        <v>1794</v>
      </c>
      <c r="G108" s="122" t="n">
        <v>6227</v>
      </c>
      <c r="H108" s="122" t="n">
        <v>5224</v>
      </c>
      <c r="I108" s="122" t="n">
        <v>1003</v>
      </c>
      <c r="J108" s="123" t="n">
        <v>30.12</v>
      </c>
      <c r="K108" s="123" t="n">
        <v>29.12</v>
      </c>
      <c r="L108" s="219">
        <f>F108*(K108-J108)</f>
        <v/>
      </c>
    </row>
    <row r="109" ht="16.5" customHeight="1">
      <c r="A109" s="124" t="n"/>
      <c r="B109" s="124" t="n"/>
      <c r="C109" s="124" t="n"/>
      <c r="D109" s="121" t="inlineStr">
        <is>
          <t>臻鼎-KY(4958)</t>
        </is>
      </c>
      <c r="E109" s="122" t="n">
        <v>95</v>
      </c>
      <c r="F109" s="122" t="n">
        <v>75</v>
      </c>
      <c r="G109" s="122" t="n">
        <v>5740</v>
      </c>
      <c r="H109" s="122" t="n">
        <v>4512</v>
      </c>
      <c r="I109" s="122" t="n">
        <v>1228</v>
      </c>
      <c r="J109" s="123" t="n">
        <v>604.23</v>
      </c>
      <c r="K109" s="123" t="n">
        <v>601.5700000000001</v>
      </c>
      <c r="L109" s="219">
        <f>F109*(K109-J109)</f>
        <v/>
      </c>
    </row>
    <row r="110" ht="16.5" customHeight="1">
      <c r="A110" s="124" t="n"/>
      <c r="B110" s="124" t="n"/>
      <c r="C110" s="124" t="n"/>
      <c r="D110" s="121" t="inlineStr">
        <is>
          <t>日月光投控(3711)</t>
        </is>
      </c>
      <c r="E110" s="122" t="n">
        <v>71</v>
      </c>
      <c r="F110" s="122" t="n">
        <v>40</v>
      </c>
      <c r="G110" s="122" t="n">
        <v>5008</v>
      </c>
      <c r="H110" s="122" t="n">
        <v>2820</v>
      </c>
      <c r="I110" s="122" t="n">
        <v>2188</v>
      </c>
      <c r="J110" s="123" t="n">
        <v>705.3</v>
      </c>
      <c r="K110" s="123" t="n">
        <v>704.88</v>
      </c>
      <c r="L110" s="219">
        <f>F110*(K110-J110)</f>
        <v/>
      </c>
    </row>
    <row r="111" ht="16.5" customHeight="1">
      <c r="A111" s="125" t="n"/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A112" s="124" t="n"/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群創(3481)</t>
        </is>
      </c>
      <c r="E112" s="122" t="n">
        <v>836</v>
      </c>
      <c r="F112" s="122" t="n">
        <v>669</v>
      </c>
      <c r="G112" s="122" t="n">
        <v>5843</v>
      </c>
      <c r="H112" s="122" t="n">
        <v>4628</v>
      </c>
      <c r="I112" s="122" t="n">
        <v>1215</v>
      </c>
      <c r="J112" s="123" t="n">
        <v>69.89</v>
      </c>
      <c r="K112" s="123" t="n">
        <v>69.17</v>
      </c>
      <c r="L112" s="219">
        <f>F112*(K112-J112)</f>
        <v/>
      </c>
    </row>
    <row r="113" ht="16.5" customHeight="1">
      <c r="A113" s="124" t="n"/>
      <c r="B113" s="124" t="n"/>
      <c r="C113" s="124" t="n"/>
      <c r="D113" s="121" t="inlineStr">
        <is>
          <t>南亞科(2408)</t>
        </is>
      </c>
      <c r="E113" s="122" t="n">
        <v>60</v>
      </c>
      <c r="F113" s="122" t="n">
        <v>53</v>
      </c>
      <c r="G113" s="122" t="n">
        <v>2522</v>
      </c>
      <c r="H113" s="122" t="n">
        <v>2212</v>
      </c>
      <c r="I113" s="122" t="n">
        <v>310</v>
      </c>
      <c r="J113" s="123" t="n">
        <v>420.28</v>
      </c>
      <c r="K113" s="123" t="n">
        <v>417.43</v>
      </c>
      <c r="L113" s="219">
        <f>F113*(K113-J113)</f>
        <v/>
      </c>
    </row>
    <row r="114" ht="16.5" customHeight="1">
      <c r="A114" s="124" t="n"/>
      <c r="B114" s="124" t="n"/>
      <c r="C114" s="124" t="n"/>
      <c r="D114" s="121" t="inlineStr">
        <is>
          <t>力積電(6770)</t>
        </is>
      </c>
      <c r="E114" s="122" t="n">
        <v>285</v>
      </c>
      <c r="F114" s="122" t="n">
        <v>129</v>
      </c>
      <c r="G114" s="122" t="n">
        <v>2148</v>
      </c>
      <c r="H114" s="122" t="n">
        <v>979</v>
      </c>
      <c r="I114" s="122" t="n">
        <v>1169</v>
      </c>
      <c r="J114" s="123" t="n">
        <v>75.36</v>
      </c>
      <c r="K114" s="123" t="n">
        <v>75.88</v>
      </c>
      <c r="L114" s="220">
        <f>F114*(K114-J114)</f>
        <v/>
      </c>
    </row>
    <row r="115" ht="16.5" customHeight="1">
      <c r="A115" s="124" t="n"/>
      <c r="B115" s="124" t="n"/>
      <c r="C115" s="124" t="n"/>
      <c r="D115" s="121" t="inlineStr">
        <is>
          <t>欣興(3037)</t>
        </is>
      </c>
      <c r="E115" s="122" t="n">
        <v>18</v>
      </c>
      <c r="F115" s="122" t="n">
        <v>14</v>
      </c>
      <c r="G115" s="122" t="n">
        <v>1836</v>
      </c>
      <c r="H115" s="122" t="n">
        <v>1446</v>
      </c>
      <c r="I115" s="122" t="n">
        <v>390</v>
      </c>
      <c r="J115" s="123" t="n">
        <v>1019.94</v>
      </c>
      <c r="K115" s="123" t="n">
        <v>1032.57</v>
      </c>
      <c r="L115" s="220">
        <f>F115*(K115-J115)</f>
        <v/>
      </c>
    </row>
    <row r="116" ht="16.5" customHeight="1">
      <c r="A116" s="124" t="n"/>
      <c r="B116" s="124" t="n"/>
      <c r="C116" s="124" t="n"/>
      <c r="D116" s="121" t="inlineStr">
        <is>
          <t>旺宏(2337)</t>
        </is>
      </c>
      <c r="E116" s="122" t="n">
        <v>115</v>
      </c>
      <c r="F116" s="122" t="n">
        <v>50</v>
      </c>
      <c r="G116" s="122" t="n">
        <v>1696</v>
      </c>
      <c r="H116" s="122" t="n">
        <v>727</v>
      </c>
      <c r="I116" s="122" t="n">
        <v>969</v>
      </c>
      <c r="J116" s="123" t="n">
        <v>147.5</v>
      </c>
      <c r="K116" s="123" t="n">
        <v>145.42</v>
      </c>
      <c r="L116" s="219">
        <f>F116*(K116-J116)</f>
        <v/>
      </c>
    </row>
    <row r="117" ht="16.5" customHeight="1">
      <c r="A117" s="124" t="n"/>
      <c r="B117" s="124" t="n"/>
      <c r="C117" s="124" t="n"/>
      <c r="D117" s="121" t="inlineStr">
        <is>
          <t>台玻(1802)</t>
        </is>
      </c>
      <c r="E117" s="122" t="n">
        <v>166</v>
      </c>
      <c r="F117" s="122" t="n">
        <v>96</v>
      </c>
      <c r="G117" s="122" t="n">
        <v>1226</v>
      </c>
      <c r="H117" s="122" t="n">
        <v>713</v>
      </c>
      <c r="I117" s="122" t="n">
        <v>513</v>
      </c>
      <c r="J117" s="123" t="n">
        <v>73.84</v>
      </c>
      <c r="K117" s="123" t="n">
        <v>74.3</v>
      </c>
      <c r="L117" s="220">
        <f>F117*(K117-J117)</f>
        <v/>
      </c>
    </row>
    <row r="118" ht="16.5" customHeight="1">
      <c r="A118" s="124" t="n"/>
      <c r="B118" s="124" t="n"/>
      <c r="C118" s="124" t="n"/>
      <c r="D118" s="121" t="inlineStr">
        <is>
          <t>緯穎(6669)</t>
        </is>
      </c>
      <c r="E118" s="122" t="n">
        <v>2</v>
      </c>
      <c r="F118" s="122" t="n">
        <v>1</v>
      </c>
      <c r="G118" s="122" t="n">
        <v>998</v>
      </c>
      <c r="H118" s="122" t="n">
        <v>130</v>
      </c>
      <c r="I118" s="122" t="n">
        <v>868</v>
      </c>
      <c r="J118" s="123" t="n">
        <v>4990</v>
      </c>
      <c r="K118" s="123" t="n">
        <v>1298</v>
      </c>
      <c r="L118" s="219">
        <f>F118*(K118-J118)</f>
        <v/>
      </c>
    </row>
    <row r="119" ht="16.5" customHeight="1">
      <c r="A119" s="124" t="n"/>
      <c r="B119" s="124" t="n"/>
      <c r="C119" s="124" t="n"/>
      <c r="D119" s="121" t="inlineStr">
        <is>
          <t>高技(5439)</t>
        </is>
      </c>
      <c r="E119" s="122" t="n">
        <v>31</v>
      </c>
      <c r="F119" s="122" t="n">
        <v>9</v>
      </c>
      <c r="G119" s="122" t="n">
        <v>988</v>
      </c>
      <c r="H119" s="122" t="n">
        <v>292</v>
      </c>
      <c r="I119" s="122" t="n">
        <v>696</v>
      </c>
      <c r="J119" s="123" t="n">
        <v>318.81</v>
      </c>
      <c r="K119" s="123" t="n">
        <v>324.89</v>
      </c>
      <c r="L119" s="220">
        <f>F119*(K119-J119)</f>
        <v/>
      </c>
    </row>
    <row r="120" ht="16.5" customHeight="1">
      <c r="A120" s="124" t="n"/>
      <c r="B120" s="124" t="n"/>
      <c r="C120" s="124" t="n"/>
      <c r="D120" s="121" t="inlineStr">
        <is>
          <t>威剛(3260)</t>
        </is>
      </c>
      <c r="E120" s="122" t="n">
        <v>24</v>
      </c>
      <c r="F120" s="122" t="n">
        <v>2</v>
      </c>
      <c r="G120" s="122" t="n">
        <v>972</v>
      </c>
      <c r="H120" s="122" t="n">
        <v>80</v>
      </c>
      <c r="I120" s="122" t="n">
        <v>892</v>
      </c>
      <c r="J120" s="123" t="n">
        <v>404.79</v>
      </c>
      <c r="K120" s="123" t="n">
        <v>402</v>
      </c>
      <c r="L120" s="219">
        <f>F120*(K120-J120)</f>
        <v/>
      </c>
    </row>
    <row r="121" ht="16.5" customHeight="1">
      <c r="A121" s="124" t="n"/>
      <c r="B121" s="124" t="n"/>
      <c r="C121" s="124" t="n"/>
      <c r="D121" s="121" t="inlineStr">
        <is>
          <t>世芯-KY(3661)</t>
        </is>
      </c>
      <c r="E121" s="122" t="n">
        <v>2</v>
      </c>
      <c r="F121" s="122" t="n">
        <v>1</v>
      </c>
      <c r="G121" s="122" t="n">
        <v>884</v>
      </c>
      <c r="H121" s="122" t="n">
        <v>73</v>
      </c>
      <c r="I121" s="122" t="n">
        <v>811</v>
      </c>
      <c r="J121" s="123" t="n">
        <v>4421</v>
      </c>
      <c r="K121" s="123" t="n">
        <v>734</v>
      </c>
      <c r="L121" s="219">
        <f>F121*(K121-J121)</f>
        <v/>
      </c>
    </row>
    <row r="122" ht="16.5" customHeight="1">
      <c r="A122" s="125" t="n"/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A123" s="124" t="n"/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友達(2409)</t>
        </is>
      </c>
      <c r="E123" s="122" t="n">
        <v>2981</v>
      </c>
      <c r="F123" s="122" t="n">
        <v>768</v>
      </c>
      <c r="G123" s="122" t="n">
        <v>9312</v>
      </c>
      <c r="H123" s="122" t="n">
        <v>2552</v>
      </c>
      <c r="I123" s="122" t="n">
        <v>6760</v>
      </c>
      <c r="J123" s="123" t="n">
        <v>31.24</v>
      </c>
      <c r="K123" s="123" t="n">
        <v>33.23</v>
      </c>
      <c r="L123" s="220">
        <f>F123*(K123-J123)</f>
        <v/>
      </c>
    </row>
    <row r="124" ht="16.5" customHeight="1">
      <c r="A124" s="124" t="n"/>
      <c r="B124" s="124" t="n"/>
      <c r="C124" s="124" t="n"/>
      <c r="D124" s="121" t="inlineStr">
        <is>
          <t>臻鼎-KY(4958)</t>
        </is>
      </c>
      <c r="E124" s="122" t="n">
        <v>115</v>
      </c>
      <c r="F124" s="122" t="n">
        <v>31</v>
      </c>
      <c r="G124" s="122" t="n">
        <v>7068</v>
      </c>
      <c r="H124" s="122" t="n">
        <v>1967</v>
      </c>
      <c r="I124" s="122" t="n">
        <v>5101</v>
      </c>
      <c r="J124" s="123" t="n">
        <v>614.6</v>
      </c>
      <c r="K124" s="123" t="n">
        <v>634.42</v>
      </c>
      <c r="L124" s="220">
        <f>F124*(K124-J124)</f>
        <v/>
      </c>
    </row>
    <row r="125" ht="16.5" customHeight="1">
      <c r="A125" s="124" t="n"/>
      <c r="B125" s="124" t="n"/>
      <c r="C125" s="124" t="n"/>
      <c r="D125" s="121" t="inlineStr">
        <is>
          <t>欣興(3037)</t>
        </is>
      </c>
      <c r="E125" s="122" t="n">
        <v>54</v>
      </c>
      <c r="F125" s="122" t="n">
        <v>38</v>
      </c>
      <c r="G125" s="122" t="n">
        <v>5572</v>
      </c>
      <c r="H125" s="122" t="n">
        <v>3981</v>
      </c>
      <c r="I125" s="122" t="n">
        <v>1591</v>
      </c>
      <c r="J125" s="123" t="n">
        <v>1031.87</v>
      </c>
      <c r="K125" s="123" t="n">
        <v>1047.58</v>
      </c>
      <c r="L125" s="220">
        <f>F125*(K125-J125)</f>
        <v/>
      </c>
    </row>
    <row r="126" ht="16.5" customHeight="1">
      <c r="A126" s="124" t="n"/>
      <c r="B126" s="124" t="n"/>
      <c r="C126" s="124" t="n"/>
      <c r="D126" s="121" t="inlineStr">
        <is>
          <t>鴻海(2317)</t>
        </is>
      </c>
      <c r="E126" s="122" t="n">
        <v>214</v>
      </c>
      <c r="F126" s="122" t="n">
        <v>170</v>
      </c>
      <c r="G126" s="122" t="n">
        <v>5336</v>
      </c>
      <c r="H126" s="122" t="n">
        <v>4224</v>
      </c>
      <c r="I126" s="122" t="n">
        <v>1112</v>
      </c>
      <c r="J126" s="123" t="n">
        <v>249.34</v>
      </c>
      <c r="K126" s="123" t="n">
        <v>248.46</v>
      </c>
      <c r="L126" s="219">
        <f>F126*(K126-J126)</f>
        <v/>
      </c>
    </row>
    <row r="127" ht="16.5" customHeight="1">
      <c r="A127" s="124" t="n"/>
      <c r="B127" s="124" t="n"/>
      <c r="C127" s="124" t="n"/>
      <c r="D127" s="121" t="inlineStr">
        <is>
          <t>華邦電(2344)</t>
        </is>
      </c>
      <c r="E127" s="122" t="n">
        <v>258</v>
      </c>
      <c r="F127" s="122" t="n">
        <v>237</v>
      </c>
      <c r="G127" s="122" t="n">
        <v>4907</v>
      </c>
      <c r="H127" s="122" t="n">
        <v>4495</v>
      </c>
      <c r="I127" s="122" t="n">
        <v>412</v>
      </c>
      <c r="J127" s="123" t="n">
        <v>190.18</v>
      </c>
      <c r="K127" s="123" t="n">
        <v>189.65</v>
      </c>
      <c r="L127" s="219">
        <f>F127*(K127-J127)</f>
        <v/>
      </c>
    </row>
    <row r="128" ht="16.5" customHeight="1">
      <c r="A128" s="124" t="n"/>
      <c r="B128" s="124" t="n"/>
      <c r="C128" s="124" t="n"/>
      <c r="D128" s="121" t="inlineStr">
        <is>
          <t>國巨*(2327)</t>
        </is>
      </c>
      <c r="E128" s="122" t="n">
        <v>36</v>
      </c>
      <c r="F128" s="122" t="n">
        <v>21</v>
      </c>
      <c r="G128" s="122" t="n">
        <v>4146</v>
      </c>
      <c r="H128" s="122" t="n">
        <v>2422</v>
      </c>
      <c r="I128" s="122" t="n">
        <v>1724</v>
      </c>
      <c r="J128" s="123" t="n">
        <v>1151.61</v>
      </c>
      <c r="K128" s="123" t="n">
        <v>1153.38</v>
      </c>
      <c r="L128" s="220">
        <f>F128*(K128-J128)</f>
        <v/>
      </c>
    </row>
    <row r="129" ht="16.5" customHeight="1">
      <c r="A129" s="124" t="n"/>
      <c r="B129" s="124" t="n"/>
      <c r="C129" s="124" t="n"/>
      <c r="D129" s="121" t="inlineStr">
        <is>
          <t>群創(3481)</t>
        </is>
      </c>
      <c r="E129" s="122" t="n">
        <v>586</v>
      </c>
      <c r="F129" s="122" t="n">
        <v>347</v>
      </c>
      <c r="G129" s="122" t="n">
        <v>4045</v>
      </c>
      <c r="H129" s="122" t="n">
        <v>2428</v>
      </c>
      <c r="I129" s="122" t="n">
        <v>1617</v>
      </c>
      <c r="J129" s="123" t="n">
        <v>69.03</v>
      </c>
      <c r="K129" s="123" t="n">
        <v>69.98999999999999</v>
      </c>
      <c r="L129" s="220">
        <f>F129*(K129-J129)</f>
        <v/>
      </c>
    </row>
    <row r="130" ht="16.5" customHeight="1">
      <c r="A130" s="124" t="n"/>
      <c r="B130" s="124" t="n"/>
      <c r="C130" s="124" t="n"/>
      <c r="D130" s="121" t="inlineStr">
        <is>
          <t>立隆電(2472)</t>
        </is>
      </c>
      <c r="E130" s="122" t="n">
        <v>76</v>
      </c>
      <c r="F130" s="122" t="n">
        <v>61</v>
      </c>
      <c r="G130" s="122" t="n">
        <v>3230</v>
      </c>
      <c r="H130" s="122" t="n">
        <v>2590</v>
      </c>
      <c r="I130" s="122" t="n">
        <v>640</v>
      </c>
      <c r="J130" s="123" t="n">
        <v>424.97</v>
      </c>
      <c r="K130" s="123" t="n">
        <v>424.62</v>
      </c>
      <c r="L130" s="219">
        <f>F130*(K130-J130)</f>
        <v/>
      </c>
    </row>
    <row r="131" ht="16.5" customHeight="1">
      <c r="A131" s="124" t="n"/>
      <c r="B131" s="124" t="n"/>
      <c r="C131" s="124" t="n"/>
      <c r="D131" s="121" t="inlineStr">
        <is>
          <t>頎邦(6147)</t>
        </is>
      </c>
      <c r="E131" s="122" t="n">
        <v>109</v>
      </c>
      <c r="F131" s="122" t="n">
        <v>49</v>
      </c>
      <c r="G131" s="122" t="n">
        <v>2471</v>
      </c>
      <c r="H131" s="122" t="n">
        <v>1107</v>
      </c>
      <c r="I131" s="122" t="n">
        <v>1364</v>
      </c>
      <c r="J131" s="123" t="n">
        <v>226.67</v>
      </c>
      <c r="K131" s="123" t="n">
        <v>225.98</v>
      </c>
      <c r="L131" s="219">
        <f>F131*(K131-J131)</f>
        <v/>
      </c>
    </row>
    <row r="132" ht="16.5" customHeight="1">
      <c r="A132" s="124" t="n"/>
      <c r="B132" s="124" t="n"/>
      <c r="C132" s="124" t="n"/>
      <c r="D132" s="121" t="inlineStr">
        <is>
          <t>景碩(3189)</t>
        </is>
      </c>
      <c r="E132" s="122" t="n">
        <v>27</v>
      </c>
      <c r="F132" s="122" t="n">
        <v>21</v>
      </c>
      <c r="G132" s="122" t="n">
        <v>2380</v>
      </c>
      <c r="H132" s="122" t="n">
        <v>1849</v>
      </c>
      <c r="I132" s="122" t="n">
        <v>531</v>
      </c>
      <c r="J132" s="123" t="n">
        <v>881.63</v>
      </c>
      <c r="K132" s="123" t="n">
        <v>880.5700000000001</v>
      </c>
      <c r="L132" s="219">
        <f>F132*(K132-J132)</f>
        <v/>
      </c>
    </row>
    <row r="133" ht="16.5" customHeight="1">
      <c r="A133" s="125" t="n"/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A134" s="124" t="n"/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1755</v>
      </c>
      <c r="F134" s="122" t="n">
        <v>174</v>
      </c>
      <c r="G134" s="122" t="n">
        <v>438226</v>
      </c>
      <c r="H134" s="122" t="n">
        <v>43301</v>
      </c>
      <c r="I134" s="122" t="n">
        <v>394925</v>
      </c>
      <c r="J134" s="123" t="n">
        <v>2497.01</v>
      </c>
      <c r="K134" s="123" t="n">
        <v>2488.55</v>
      </c>
      <c r="L134" s="219">
        <f>F134*(K134-J134)</f>
        <v/>
      </c>
    </row>
    <row r="135" ht="16.5" customHeight="1">
      <c r="A135" s="124" t="n"/>
      <c r="B135" s="124" t="n"/>
      <c r="C135" s="124" t="n"/>
      <c r="D135" s="121" t="inlineStr">
        <is>
          <t>緯穎(6669)</t>
        </is>
      </c>
      <c r="E135" s="122" t="n">
        <v>276</v>
      </c>
      <c r="F135" s="122" t="n">
        <v>15</v>
      </c>
      <c r="G135" s="122" t="n">
        <v>138736</v>
      </c>
      <c r="H135" s="122" t="n">
        <v>7506</v>
      </c>
      <c r="I135" s="122" t="n">
        <v>131230</v>
      </c>
      <c r="J135" s="123" t="n">
        <v>5026.66</v>
      </c>
      <c r="K135" s="123" t="n">
        <v>5003.67</v>
      </c>
      <c r="L135" s="219">
        <f>F135*(K135-J135)</f>
        <v/>
      </c>
    </row>
    <row r="136" ht="16.5" customHeight="1">
      <c r="A136" s="124" t="n"/>
      <c r="B136" s="124" t="n"/>
      <c r="C136" s="124" t="n"/>
      <c r="D136" s="121" t="inlineStr">
        <is>
          <t>華航(2610)</t>
        </is>
      </c>
      <c r="E136" s="122" t="n">
        <v>15892</v>
      </c>
      <c r="F136" s="122" t="n">
        <v>326</v>
      </c>
      <c r="G136" s="122" t="n">
        <v>35947</v>
      </c>
      <c r="H136" s="122" t="n">
        <v>750</v>
      </c>
      <c r="I136" s="122" t="n">
        <v>35197</v>
      </c>
      <c r="J136" s="123" t="n">
        <v>22.62</v>
      </c>
      <c r="K136" s="123" t="n">
        <v>23.02</v>
      </c>
      <c r="L136" s="220">
        <f>F136*(K136-J136)</f>
        <v/>
      </c>
    </row>
    <row r="137" ht="16.5" customHeight="1">
      <c r="A137" s="124" t="n"/>
      <c r="B137" s="124" t="n"/>
      <c r="C137" s="124" t="n"/>
      <c r="D137" s="121" t="inlineStr">
        <is>
          <t>日月光投控(3711)</t>
        </is>
      </c>
      <c r="E137" s="122" t="n">
        <v>426</v>
      </c>
      <c r="F137" s="122" t="n">
        <v>44</v>
      </c>
      <c r="G137" s="122" t="n">
        <v>29949</v>
      </c>
      <c r="H137" s="122" t="n">
        <v>3094</v>
      </c>
      <c r="I137" s="122" t="n">
        <v>26855</v>
      </c>
      <c r="J137" s="123" t="n">
        <v>703.02</v>
      </c>
      <c r="K137" s="123" t="n">
        <v>703.3</v>
      </c>
      <c r="L137" s="220">
        <f>F137*(K137-J137)</f>
        <v/>
      </c>
    </row>
    <row r="138" ht="16.5" customHeight="1">
      <c r="A138" s="124" t="n"/>
      <c r="B138" s="124" t="n"/>
      <c r="C138" s="124" t="n"/>
      <c r="D138" s="121" t="inlineStr">
        <is>
          <t>漢唐(2404)</t>
        </is>
      </c>
      <c r="E138" s="122" t="n">
        <v>207</v>
      </c>
      <c r="F138" s="122" t="n">
        <v>8</v>
      </c>
      <c r="G138" s="122" t="n">
        <v>26912</v>
      </c>
      <c r="H138" s="122" t="n">
        <v>1070</v>
      </c>
      <c r="I138" s="122" t="n">
        <v>25842</v>
      </c>
      <c r="J138" s="123" t="n">
        <v>1300.1</v>
      </c>
      <c r="K138" s="123" t="n">
        <v>1337</v>
      </c>
      <c r="L138" s="220">
        <f>F138*(K138-J138)</f>
        <v/>
      </c>
    </row>
    <row r="139" ht="16.5" customHeight="1">
      <c r="A139" s="124" t="n"/>
      <c r="B139" s="124" t="n"/>
      <c r="C139" s="124" t="n"/>
      <c r="D139" s="121" t="inlineStr">
        <is>
          <t>廣達(2382)</t>
        </is>
      </c>
      <c r="E139" s="122" t="n">
        <v>643</v>
      </c>
      <c r="F139" s="122" t="n">
        <v>49</v>
      </c>
      <c r="G139" s="122" t="n">
        <v>23934</v>
      </c>
      <c r="H139" s="122" t="n">
        <v>1824</v>
      </c>
      <c r="I139" s="122" t="n">
        <v>22110</v>
      </c>
      <c r="J139" s="123" t="n">
        <v>372.23</v>
      </c>
      <c r="K139" s="123" t="n">
        <v>372.24</v>
      </c>
      <c r="L139" s="220">
        <f>F139*(K139-J139)</f>
        <v/>
      </c>
    </row>
    <row r="140" ht="16.5" customHeight="1">
      <c r="A140" s="124" t="n"/>
      <c r="B140" s="124" t="n"/>
      <c r="C140" s="124" t="n"/>
      <c r="D140" s="121" t="inlineStr">
        <is>
          <t>洋基工程(6691)</t>
        </is>
      </c>
      <c r="E140" s="122" t="n">
        <v>292</v>
      </c>
      <c r="F140" s="122" t="n">
        <v>10</v>
      </c>
      <c r="G140" s="122" t="n">
        <v>21937</v>
      </c>
      <c r="H140" s="122" t="n">
        <v>762</v>
      </c>
      <c r="I140" s="122" t="n">
        <v>21175</v>
      </c>
      <c r="J140" s="123" t="n">
        <v>751.27</v>
      </c>
      <c r="K140" s="123" t="n">
        <v>761.6</v>
      </c>
      <c r="L140" s="220">
        <f>F140*(K140-J140)</f>
        <v/>
      </c>
    </row>
    <row r="141" ht="16.5" customHeight="1">
      <c r="A141" s="124" t="n"/>
      <c r="B141" s="124" t="n"/>
      <c r="C141" s="124" t="n"/>
      <c r="D141" s="121" t="inlineStr">
        <is>
          <t>奇鋐(3017)</t>
        </is>
      </c>
      <c r="E141" s="122" t="n">
        <v>83</v>
      </c>
      <c r="F141" s="122" t="n">
        <v>20</v>
      </c>
      <c r="G141" s="122" t="n">
        <v>21711</v>
      </c>
      <c r="H141" s="122" t="n">
        <v>5219</v>
      </c>
      <c r="I141" s="122" t="n">
        <v>16492</v>
      </c>
      <c r="J141" s="123" t="n">
        <v>2615.73</v>
      </c>
      <c r="K141" s="123" t="n">
        <v>2609.6</v>
      </c>
      <c r="L141" s="219">
        <f>F141*(K141-J141)</f>
        <v/>
      </c>
    </row>
    <row r="142" ht="16.5" customHeight="1">
      <c r="A142" s="124" t="n"/>
      <c r="B142" s="124" t="n"/>
      <c r="C142" s="124" t="n"/>
      <c r="D142" s="121" t="inlineStr">
        <is>
          <t>新普(6121)</t>
        </is>
      </c>
      <c r="E142" s="122" t="n">
        <v>448</v>
      </c>
      <c r="F142" s="122" t="n">
        <v>11</v>
      </c>
      <c r="G142" s="122" t="n">
        <v>18254</v>
      </c>
      <c r="H142" s="122" t="n">
        <v>430</v>
      </c>
      <c r="I142" s="122" t="n">
        <v>17824</v>
      </c>
      <c r="J142" s="123" t="n">
        <v>407.46</v>
      </c>
      <c r="K142" s="123" t="n">
        <v>391.36</v>
      </c>
      <c r="L142" s="219">
        <f>F142*(K142-J142)</f>
        <v/>
      </c>
    </row>
    <row r="143" ht="16.5" customHeight="1">
      <c r="A143" s="124" t="n"/>
      <c r="B143" s="124" t="n"/>
      <c r="C143" s="124" t="n"/>
      <c r="D143" s="121" t="inlineStr">
        <is>
          <t>緯創(3231)</t>
        </is>
      </c>
      <c r="E143" s="122" t="n">
        <v>1129</v>
      </c>
      <c r="F143" s="122" t="n">
        <v>28</v>
      </c>
      <c r="G143" s="122" t="n">
        <v>18004</v>
      </c>
      <c r="H143" s="122" t="n">
        <v>452</v>
      </c>
      <c r="I143" s="122" t="n">
        <v>17552</v>
      </c>
      <c r="J143" s="123" t="n">
        <v>159.47</v>
      </c>
      <c r="K143" s="123" t="n">
        <v>161.25</v>
      </c>
      <c r="L143" s="220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第一金(2892)</t>
        </is>
      </c>
      <c r="E145" s="129" t="n">
        <v>90013</v>
      </c>
      <c r="F145" s="129" t="n">
        <v>21</v>
      </c>
      <c r="G145" s="129" t="n">
        <v>298201</v>
      </c>
      <c r="H145" s="129" t="n">
        <v>69</v>
      </c>
      <c r="I145" s="129" t="n">
        <v>298132</v>
      </c>
      <c r="J145" s="130" t="n">
        <v>33.13</v>
      </c>
      <c r="K145" s="130" t="n">
        <v>33.05</v>
      </c>
      <c r="L145" s="219">
        <f>F145*(K145-J145)</f>
        <v/>
      </c>
    </row>
    <row r="146" ht="16.5" customHeight="1">
      <c r="A146" s="131" t="n"/>
      <c r="B146" s="131" t="n"/>
      <c r="C146" s="131" t="n"/>
      <c r="D146" s="128" t="inlineStr">
        <is>
          <t>台積電(2330)</t>
        </is>
      </c>
      <c r="E146" s="129" t="n">
        <v>523</v>
      </c>
      <c r="F146" s="129" t="n">
        <v>26</v>
      </c>
      <c r="G146" s="129" t="n">
        <v>129985</v>
      </c>
      <c r="H146" s="129" t="n">
        <v>6398</v>
      </c>
      <c r="I146" s="129" t="n">
        <v>123587</v>
      </c>
      <c r="J146" s="130" t="n">
        <v>2485.38</v>
      </c>
      <c r="K146" s="130" t="n">
        <v>2460.62</v>
      </c>
      <c r="L146" s="219">
        <f>F146*(K146-J146)</f>
        <v/>
      </c>
    </row>
    <row r="147" ht="16.5" customHeight="1">
      <c r="A147" s="131" t="n"/>
      <c r="B147" s="131" t="n"/>
      <c r="C147" s="131" t="n"/>
      <c r="D147" s="128" t="inlineStr">
        <is>
          <t>鴻勁(7769)</t>
        </is>
      </c>
      <c r="E147" s="129" t="n">
        <v>151</v>
      </c>
      <c r="F147" s="129" t="n">
        <v>1</v>
      </c>
      <c r="G147" s="129" t="n">
        <v>104865</v>
      </c>
      <c r="H147" s="129" t="n">
        <v>30</v>
      </c>
      <c r="I147" s="129" t="n">
        <v>104835</v>
      </c>
      <c r="J147" s="130" t="n">
        <v>6944.7</v>
      </c>
      <c r="K147" s="130" t="n">
        <v>296</v>
      </c>
      <c r="L147" s="219">
        <f>F147*(K147-J147)</f>
        <v/>
      </c>
    </row>
    <row r="148" ht="16.5" customHeight="1">
      <c r="A148" s="131" t="n"/>
      <c r="B148" s="131" t="n"/>
      <c r="C148" s="131" t="n"/>
      <c r="D148" s="128" t="inlineStr">
        <is>
          <t>台新新光金(2887)</t>
        </is>
      </c>
      <c r="E148" s="129" t="n">
        <v>28135</v>
      </c>
      <c r="F148" s="129" t="n">
        <v>40</v>
      </c>
      <c r="G148" s="129" t="n">
        <v>93736</v>
      </c>
      <c r="H148" s="129" t="n">
        <v>132</v>
      </c>
      <c r="I148" s="129" t="n">
        <v>93604</v>
      </c>
      <c r="J148" s="130" t="n">
        <v>33.32</v>
      </c>
      <c r="K148" s="130" t="n">
        <v>33</v>
      </c>
      <c r="L148" s="219">
        <f>F148*(K148-J148)</f>
        <v/>
      </c>
    </row>
    <row r="149" ht="16.5" customHeight="1">
      <c r="A149" s="131" t="n"/>
      <c r="B149" s="131" t="n"/>
      <c r="C149" s="131" t="n"/>
      <c r="D149" s="128" t="inlineStr">
        <is>
          <t>環球晶(6488)</t>
        </is>
      </c>
      <c r="E149" s="129" t="n">
        <v>711</v>
      </c>
      <c r="F149" s="129" t="n">
        <v>270</v>
      </c>
      <c r="G149" s="129" t="n">
        <v>78563</v>
      </c>
      <c r="H149" s="129" t="n">
        <v>29846</v>
      </c>
      <c r="I149" s="129" t="n">
        <v>48717</v>
      </c>
      <c r="J149" s="130" t="n">
        <v>1104.96</v>
      </c>
      <c r="K149" s="130" t="n">
        <v>1105.41</v>
      </c>
      <c r="L149" s="220">
        <f>F149*(K149-J149)</f>
        <v/>
      </c>
    </row>
    <row r="150" ht="16.5" customHeight="1">
      <c r="A150" s="131" t="n"/>
      <c r="B150" s="131" t="n"/>
      <c r="C150" s="131" t="n"/>
      <c r="D150" s="128" t="inlineStr">
        <is>
          <t>緯穎(6669)</t>
        </is>
      </c>
      <c r="E150" s="129" t="n">
        <v>111</v>
      </c>
      <c r="F150" s="129" t="n">
        <v>27</v>
      </c>
      <c r="G150" s="129" t="n">
        <v>55678</v>
      </c>
      <c r="H150" s="129" t="n">
        <v>13678</v>
      </c>
      <c r="I150" s="129" t="n">
        <v>42000</v>
      </c>
      <c r="J150" s="130" t="n">
        <v>5016.07</v>
      </c>
      <c r="K150" s="130" t="n">
        <v>5065.81</v>
      </c>
      <c r="L150" s="220">
        <f>F150*(K150-J150)</f>
        <v/>
      </c>
    </row>
    <row r="151" ht="16.5" customHeight="1">
      <c r="A151" s="131" t="n"/>
      <c r="B151" s="131" t="n"/>
      <c r="C151" s="131" t="n"/>
      <c r="D151" s="128" t="inlineStr">
        <is>
          <t>大立光(3008)</t>
        </is>
      </c>
      <c r="E151" s="129" t="n">
        <v>119</v>
      </c>
      <c r="F151" s="129" t="n">
        <v>30</v>
      </c>
      <c r="G151" s="129" t="n">
        <v>51376</v>
      </c>
      <c r="H151" s="129" t="n">
        <v>12821</v>
      </c>
      <c r="I151" s="129" t="n">
        <v>38555</v>
      </c>
      <c r="J151" s="130" t="n">
        <v>4317.34</v>
      </c>
      <c r="K151" s="130" t="n">
        <v>4273.57</v>
      </c>
      <c r="L151" s="219">
        <f>F151*(K151-J151)</f>
        <v/>
      </c>
    </row>
    <row r="152" ht="16.5" customHeight="1">
      <c r="A152" s="131" t="n"/>
      <c r="B152" s="131" t="n"/>
      <c r="C152" s="131" t="n"/>
      <c r="D152" s="128" t="inlineStr">
        <is>
          <t>奇鋐(3017)</t>
        </is>
      </c>
      <c r="E152" s="129" t="n">
        <v>184</v>
      </c>
      <c r="F152" s="129" t="n">
        <v>29</v>
      </c>
      <c r="G152" s="129" t="n">
        <v>48164</v>
      </c>
      <c r="H152" s="129" t="n">
        <v>7497</v>
      </c>
      <c r="I152" s="129" t="n">
        <v>40667</v>
      </c>
      <c r="J152" s="130" t="n">
        <v>2617.62</v>
      </c>
      <c r="K152" s="130" t="n">
        <v>2585.03</v>
      </c>
      <c r="L152" s="219">
        <f>F152*(K152-J152)</f>
        <v/>
      </c>
    </row>
    <row r="153" ht="16.5" customHeight="1">
      <c r="A153" s="131" t="n"/>
      <c r="B153" s="131" t="n"/>
      <c r="C153" s="131" t="n"/>
      <c r="D153" s="128" t="inlineStr">
        <is>
          <t>矽創(8016)</t>
        </is>
      </c>
      <c r="E153" s="129" t="n">
        <v>1269</v>
      </c>
      <c r="F153" s="129" t="n">
        <v>0</v>
      </c>
      <c r="G153" s="129" t="n">
        <v>43329</v>
      </c>
      <c r="H153" s="129" t="n">
        <v>0</v>
      </c>
      <c r="I153" s="129" t="n">
        <v>43329</v>
      </c>
      <c r="J153" s="130" t="n">
        <v>341.44</v>
      </c>
      <c r="K153" s="130" t="n">
        <v>0</v>
      </c>
      <c r="L153" s="220">
        <f>F153*(K153-J153)</f>
        <v/>
      </c>
    </row>
    <row r="154" ht="16.5" customHeight="1">
      <c r="A154" s="131" t="n"/>
      <c r="B154" s="131" t="n"/>
      <c r="C154" s="131" t="n"/>
      <c r="D154" s="128" t="inlineStr">
        <is>
          <t>聯電(2303)</t>
        </is>
      </c>
      <c r="E154" s="129" t="n">
        <v>2527</v>
      </c>
      <c r="F154" s="129" t="n">
        <v>360</v>
      </c>
      <c r="G154" s="129" t="n">
        <v>42749</v>
      </c>
      <c r="H154" s="129" t="n">
        <v>6071</v>
      </c>
      <c r="I154" s="129" t="n">
        <v>36678</v>
      </c>
      <c r="J154" s="130" t="n">
        <v>169.17</v>
      </c>
      <c r="K154" s="130" t="n">
        <v>168.65</v>
      </c>
      <c r="L154" s="219">
        <f>F154*(K154-J154)</f>
        <v/>
      </c>
    </row>
    <row r="155" ht="16.5" customHeight="1">
      <c r="A155" s="132" t="n"/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A156" s="131" t="n"/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兆豐金(2886)</t>
        </is>
      </c>
      <c r="E156" s="129" t="n">
        <v>59910</v>
      </c>
      <c r="F156" s="129" t="n">
        <v>18</v>
      </c>
      <c r="G156" s="129" t="n">
        <v>278663</v>
      </c>
      <c r="H156" s="129" t="n">
        <v>84</v>
      </c>
      <c r="I156" s="129" t="n">
        <v>278579</v>
      </c>
      <c r="J156" s="130" t="n">
        <v>46.51</v>
      </c>
      <c r="K156" s="130" t="n">
        <v>46.39</v>
      </c>
      <c r="L156" s="219">
        <f>F156*(K156-J156)</f>
        <v/>
      </c>
    </row>
    <row r="157" ht="16.5" customHeight="1">
      <c r="A157" s="131" t="n"/>
      <c r="B157" s="131" t="n"/>
      <c r="C157" s="131" t="n"/>
      <c r="D157" s="128" t="inlineStr">
        <is>
          <t>彰銀(2801)</t>
        </is>
      </c>
      <c r="E157" s="129" t="n">
        <v>83040</v>
      </c>
      <c r="F157" s="129" t="n">
        <v>131</v>
      </c>
      <c r="G157" s="129" t="n">
        <v>198077</v>
      </c>
      <c r="H157" s="129" t="n">
        <v>316</v>
      </c>
      <c r="I157" s="129" t="n">
        <v>197761</v>
      </c>
      <c r="J157" s="130" t="n">
        <v>23.85</v>
      </c>
      <c r="K157" s="130" t="n">
        <v>24.13</v>
      </c>
      <c r="L157" s="220">
        <f>F157*(K157-J157)</f>
        <v/>
      </c>
    </row>
    <row r="158" ht="16.5" customHeight="1">
      <c r="A158" s="131" t="n"/>
      <c r="B158" s="131" t="n"/>
      <c r="C158" s="131" t="n"/>
      <c r="D158" s="128" t="inlineStr">
        <is>
          <t>緯創(3231)</t>
        </is>
      </c>
      <c r="E158" s="129" t="n">
        <v>7974</v>
      </c>
      <c r="F158" s="129" t="n">
        <v>80</v>
      </c>
      <c r="G158" s="129" t="n">
        <v>128033</v>
      </c>
      <c r="H158" s="129" t="n">
        <v>1285</v>
      </c>
      <c r="I158" s="129" t="n">
        <v>126748</v>
      </c>
      <c r="J158" s="130" t="n">
        <v>160.56</v>
      </c>
      <c r="K158" s="130" t="n">
        <v>160.59</v>
      </c>
      <c r="L158" s="220">
        <f>F158*(K158-J158)</f>
        <v/>
      </c>
    </row>
    <row r="159" ht="16.5" customHeight="1">
      <c r="A159" s="131" t="n"/>
      <c r="B159" s="131" t="n"/>
      <c r="C159" s="131" t="n"/>
      <c r="D159" s="128" t="inlineStr">
        <is>
          <t>國巨*(2327)</t>
        </is>
      </c>
      <c r="E159" s="129" t="n">
        <v>1017</v>
      </c>
      <c r="F159" s="129" t="n">
        <v>119</v>
      </c>
      <c r="G159" s="129" t="n">
        <v>121445</v>
      </c>
      <c r="H159" s="129" t="n">
        <v>14036</v>
      </c>
      <c r="I159" s="129" t="n">
        <v>107409</v>
      </c>
      <c r="J159" s="130" t="n">
        <v>1194.15</v>
      </c>
      <c r="K159" s="130" t="n">
        <v>1179.45</v>
      </c>
      <c r="L159" s="219">
        <f>F159*(K159-J159)</f>
        <v/>
      </c>
    </row>
    <row r="160" ht="16.5" customHeight="1">
      <c r="A160" s="131" t="n"/>
      <c r="B160" s="131" t="n"/>
      <c r="C160" s="131" t="n"/>
      <c r="D160" s="128" t="inlineStr">
        <is>
          <t>景碩(3189)</t>
        </is>
      </c>
      <c r="E160" s="129" t="n">
        <v>1041</v>
      </c>
      <c r="F160" s="129" t="n">
        <v>63</v>
      </c>
      <c r="G160" s="129" t="n">
        <v>94257</v>
      </c>
      <c r="H160" s="129" t="n">
        <v>5636</v>
      </c>
      <c r="I160" s="129" t="n">
        <v>88621</v>
      </c>
      <c r="J160" s="130" t="n">
        <v>905.4400000000001</v>
      </c>
      <c r="K160" s="130" t="n">
        <v>894.65</v>
      </c>
      <c r="L160" s="219">
        <f>F160*(K160-J160)</f>
        <v/>
      </c>
    </row>
    <row r="161" ht="16.5" customHeight="1">
      <c r="A161" s="131" t="n"/>
      <c r="B161" s="131" t="n"/>
      <c r="C161" s="131" t="n"/>
      <c r="D161" s="128" t="inlineStr">
        <is>
          <t>宜鼎(5289)</t>
        </is>
      </c>
      <c r="E161" s="129" t="n">
        <v>307</v>
      </c>
      <c r="F161" s="129" t="n">
        <v>41</v>
      </c>
      <c r="G161" s="129" t="n">
        <v>48444</v>
      </c>
      <c r="H161" s="129" t="n">
        <v>6306</v>
      </c>
      <c r="I161" s="129" t="n">
        <v>42138</v>
      </c>
      <c r="J161" s="130" t="n">
        <v>1577.96</v>
      </c>
      <c r="K161" s="130" t="n">
        <v>1538.17</v>
      </c>
      <c r="L161" s="219">
        <f>F161*(K161-J161)</f>
        <v/>
      </c>
    </row>
    <row r="162" ht="16.5" customHeight="1">
      <c r="A162" s="131" t="n"/>
      <c r="B162" s="131" t="n"/>
      <c r="C162" s="131" t="n"/>
      <c r="D162" s="128" t="inlineStr">
        <is>
          <t>神基(3005)</t>
        </is>
      </c>
      <c r="E162" s="129" t="n">
        <v>3265</v>
      </c>
      <c r="F162" s="129" t="n">
        <v>14</v>
      </c>
      <c r="G162" s="129" t="n">
        <v>35651</v>
      </c>
      <c r="H162" s="129" t="n">
        <v>147</v>
      </c>
      <c r="I162" s="129" t="n">
        <v>35504</v>
      </c>
      <c r="J162" s="130" t="n">
        <v>109.19</v>
      </c>
      <c r="K162" s="130" t="n">
        <v>105.07</v>
      </c>
      <c r="L162" s="219">
        <f>F162*(K162-J162)</f>
        <v/>
      </c>
    </row>
    <row r="163" ht="16.5" customHeight="1">
      <c r="A163" s="131" t="n"/>
      <c r="B163" s="131" t="n"/>
      <c r="C163" s="131" t="n"/>
      <c r="D163" s="128" t="inlineStr">
        <is>
          <t>第一金(2892)</t>
        </is>
      </c>
      <c r="E163" s="129" t="n">
        <v>7280</v>
      </c>
      <c r="F163" s="129" t="n">
        <v>80</v>
      </c>
      <c r="G163" s="129" t="n">
        <v>23678</v>
      </c>
      <c r="H163" s="129" t="n">
        <v>264</v>
      </c>
      <c r="I163" s="129" t="n">
        <v>23414</v>
      </c>
      <c r="J163" s="130" t="n">
        <v>32.52</v>
      </c>
      <c r="K163" s="130" t="n">
        <v>33.06</v>
      </c>
      <c r="L163" s="220">
        <f>F163*(K163-J163)</f>
        <v/>
      </c>
    </row>
    <row r="164" ht="16.5" customHeight="1">
      <c r="A164" s="131" t="n"/>
      <c r="B164" s="131" t="n"/>
      <c r="C164" s="131" t="n"/>
      <c r="D164" s="128" t="inlineStr">
        <is>
          <t>旺矽(6223)</t>
        </is>
      </c>
      <c r="E164" s="129" t="n">
        <v>30</v>
      </c>
      <c r="F164" s="129" t="n">
        <v>23</v>
      </c>
      <c r="G164" s="129" t="n">
        <v>20087</v>
      </c>
      <c r="H164" s="129" t="n">
        <v>15492</v>
      </c>
      <c r="I164" s="129" t="n">
        <v>4595</v>
      </c>
      <c r="J164" s="130" t="n">
        <v>6695.67</v>
      </c>
      <c r="K164" s="130" t="n">
        <v>6735.87</v>
      </c>
      <c r="L164" s="220">
        <f>F164*(K164-J164)</f>
        <v/>
      </c>
    </row>
    <row r="165" ht="16.5" customHeight="1">
      <c r="A165" s="131" t="n"/>
      <c r="B165" s="131" t="n"/>
      <c r="C165" s="131" t="n"/>
      <c r="D165" s="128" t="inlineStr">
        <is>
          <t>聯陽(3014)</t>
        </is>
      </c>
      <c r="E165" s="129" t="n">
        <v>1205</v>
      </c>
      <c r="F165" s="129" t="n">
        <v>2</v>
      </c>
      <c r="G165" s="129" t="n">
        <v>19634</v>
      </c>
      <c r="H165" s="129" t="n">
        <v>33</v>
      </c>
      <c r="I165" s="129" t="n">
        <v>19601</v>
      </c>
      <c r="J165" s="130" t="n">
        <v>162.93</v>
      </c>
      <c r="K165" s="130" t="n">
        <v>165.5</v>
      </c>
      <c r="L165" s="220">
        <f>F165*(K165-J165)</f>
        <v/>
      </c>
    </row>
    <row r="166" ht="16.5" customHeight="1">
      <c r="A166" s="132" t="n"/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A167" s="131" t="n"/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中美晶(5483)</t>
        </is>
      </c>
      <c r="E167" s="129" t="n">
        <v>7199</v>
      </c>
      <c r="F167" s="129" t="n">
        <v>2705</v>
      </c>
      <c r="G167" s="129" t="n">
        <v>142537</v>
      </c>
      <c r="H167" s="129" t="n">
        <v>53554</v>
      </c>
      <c r="I167" s="129" t="n">
        <v>88983</v>
      </c>
      <c r="J167" s="130" t="n">
        <v>198</v>
      </c>
      <c r="K167" s="130" t="n">
        <v>197.98</v>
      </c>
      <c r="L167" s="219">
        <f>F167*(K167-J167)</f>
        <v/>
      </c>
    </row>
    <row r="168" ht="16.5" customHeight="1">
      <c r="A168" s="131" t="n"/>
      <c r="B168" s="131" t="n"/>
      <c r="C168" s="131" t="n"/>
      <c r="D168" s="128" t="inlineStr">
        <is>
          <t>南茂(8150)</t>
        </is>
      </c>
      <c r="E168" s="129" t="n">
        <v>5518</v>
      </c>
      <c r="F168" s="129" t="n">
        <v>3830</v>
      </c>
      <c r="G168" s="129" t="n">
        <v>59823</v>
      </c>
      <c r="H168" s="129" t="n">
        <v>40967</v>
      </c>
      <c r="I168" s="129" t="n">
        <v>18856</v>
      </c>
      <c r="J168" s="130" t="n">
        <v>108.41</v>
      </c>
      <c r="K168" s="130" t="n">
        <v>106.96</v>
      </c>
      <c r="L168" s="219">
        <f>F168*(K168-J168)</f>
        <v/>
      </c>
    </row>
    <row r="169" ht="16.5" customHeight="1">
      <c r="A169" s="131" t="n"/>
      <c r="B169" s="131" t="n"/>
      <c r="C169" s="131" t="n"/>
      <c r="D169" s="128" t="inlineStr">
        <is>
          <t>頎邦(6147)</t>
        </is>
      </c>
      <c r="E169" s="129" t="n">
        <v>1584</v>
      </c>
      <c r="F169" s="129" t="n">
        <v>1431</v>
      </c>
      <c r="G169" s="129" t="n">
        <v>36529</v>
      </c>
      <c r="H169" s="129" t="n">
        <v>32507</v>
      </c>
      <c r="I169" s="129" t="n">
        <v>4022</v>
      </c>
      <c r="J169" s="130" t="n">
        <v>230.61</v>
      </c>
      <c r="K169" s="130" t="n">
        <v>227.16</v>
      </c>
      <c r="L169" s="219">
        <f>F169*(K169-J169)</f>
        <v/>
      </c>
    </row>
    <row r="170" ht="16.5" customHeight="1">
      <c r="A170" s="131" t="n"/>
      <c r="B170" s="131" t="n"/>
      <c r="C170" s="131" t="n"/>
      <c r="D170" s="128" t="inlineStr">
        <is>
          <t>九豪(6127)</t>
        </is>
      </c>
      <c r="E170" s="129" t="n">
        <v>2119</v>
      </c>
      <c r="F170" s="129" t="n">
        <v>2076</v>
      </c>
      <c r="G170" s="129" t="n">
        <v>20532</v>
      </c>
      <c r="H170" s="129" t="n">
        <v>20120</v>
      </c>
      <c r="I170" s="129" t="n">
        <v>412</v>
      </c>
      <c r="J170" s="130" t="n">
        <v>96.90000000000001</v>
      </c>
      <c r="K170" s="130" t="n">
        <v>96.92</v>
      </c>
      <c r="L170" s="220">
        <f>F170*(K170-J170)</f>
        <v/>
      </c>
    </row>
    <row r="171" ht="16.5" customHeight="1">
      <c r="A171" s="131" t="n"/>
      <c r="B171" s="131" t="n"/>
      <c r="C171" s="131" t="n"/>
      <c r="D171" s="128" t="inlineStr">
        <is>
          <t>京元電子(2449)</t>
        </is>
      </c>
      <c r="E171" s="129" t="n">
        <v>288</v>
      </c>
      <c r="F171" s="129" t="n">
        <v>12</v>
      </c>
      <c r="G171" s="129" t="n">
        <v>9884</v>
      </c>
      <c r="H171" s="129" t="n">
        <v>404</v>
      </c>
      <c r="I171" s="129" t="n">
        <v>9480</v>
      </c>
      <c r="J171" s="130" t="n">
        <v>343.18</v>
      </c>
      <c r="K171" s="130" t="n">
        <v>336.33</v>
      </c>
      <c r="L171" s="219">
        <f>F171*(K171-J171)</f>
        <v/>
      </c>
    </row>
    <row r="172" ht="16.5" customHeight="1">
      <c r="A172" s="131" t="n"/>
      <c r="B172" s="131" t="n"/>
      <c r="C172" s="131" t="n"/>
      <c r="D172" s="128" t="inlineStr">
        <is>
          <t>合晶(6182)</t>
        </is>
      </c>
      <c r="E172" s="129" t="n">
        <v>638</v>
      </c>
      <c r="F172" s="129" t="n">
        <v>302</v>
      </c>
      <c r="G172" s="129" t="n">
        <v>8613</v>
      </c>
      <c r="H172" s="129" t="n">
        <v>4078</v>
      </c>
      <c r="I172" s="129" t="n">
        <v>4535</v>
      </c>
      <c r="J172" s="130" t="n">
        <v>135</v>
      </c>
      <c r="K172" s="130" t="n">
        <v>135.05</v>
      </c>
      <c r="L172" s="220">
        <f>F172*(K172-J172)</f>
        <v/>
      </c>
    </row>
    <row r="173" ht="16.5" customHeight="1">
      <c r="A173" s="131" t="n"/>
      <c r="B173" s="131" t="n"/>
      <c r="C173" s="131" t="n"/>
      <c r="D173" s="128" t="inlineStr">
        <is>
          <t>牧德(3563)</t>
        </is>
      </c>
      <c r="E173" s="129" t="n">
        <v>100</v>
      </c>
      <c r="F173" s="129" t="n">
        <v>1</v>
      </c>
      <c r="G173" s="129" t="n">
        <v>7780</v>
      </c>
      <c r="H173" s="129" t="n">
        <v>100</v>
      </c>
      <c r="I173" s="129" t="n">
        <v>7680</v>
      </c>
      <c r="J173" s="130" t="n">
        <v>778</v>
      </c>
      <c r="K173" s="130" t="n">
        <v>1005</v>
      </c>
      <c r="L173" s="220">
        <f>F173*(K173-J173)</f>
        <v/>
      </c>
    </row>
    <row r="174" ht="16.5" customHeight="1">
      <c r="A174" s="131" t="n"/>
      <c r="B174" s="131" t="n"/>
      <c r="C174" s="131" t="n"/>
      <c r="D174" s="128" t="inlineStr">
        <is>
          <t>東捷(8064)</t>
        </is>
      </c>
      <c r="E174" s="129" t="n">
        <v>308</v>
      </c>
      <c r="F174" s="129" t="n">
        <v>203</v>
      </c>
      <c r="G174" s="129" t="n">
        <v>4803</v>
      </c>
      <c r="H174" s="129" t="n">
        <v>3020</v>
      </c>
      <c r="I174" s="129" t="n">
        <v>1783</v>
      </c>
      <c r="J174" s="130" t="n">
        <v>155.95</v>
      </c>
      <c r="K174" s="130" t="n">
        <v>148.79</v>
      </c>
      <c r="L174" s="219">
        <f>F174*(K174-J174)</f>
        <v/>
      </c>
    </row>
    <row r="175" ht="16.5" customHeight="1">
      <c r="A175" s="131" t="n"/>
      <c r="B175" s="131" t="n"/>
      <c r="C175" s="131" t="n"/>
      <c r="D175" s="128" t="inlineStr">
        <is>
          <t>台嘉碩(3221)</t>
        </is>
      </c>
      <c r="E175" s="129" t="n">
        <v>722</v>
      </c>
      <c r="F175" s="129" t="n">
        <v>635</v>
      </c>
      <c r="G175" s="129" t="n">
        <v>4648</v>
      </c>
      <c r="H175" s="129" t="n">
        <v>4062</v>
      </c>
      <c r="I175" s="129" t="n">
        <v>586</v>
      </c>
      <c r="J175" s="130" t="n">
        <v>64.37</v>
      </c>
      <c r="K175" s="130" t="n">
        <v>63.96</v>
      </c>
      <c r="L175" s="219">
        <f>F175*(K175-J175)</f>
        <v/>
      </c>
    </row>
    <row r="176" ht="16.5" customHeight="1">
      <c r="A176" s="131" t="n"/>
      <c r="B176" s="131" t="n"/>
      <c r="C176" s="131" t="n"/>
      <c r="D176" s="128" t="inlineStr">
        <is>
          <t>台表科(6278)</t>
        </is>
      </c>
      <c r="E176" s="129" t="n">
        <v>215</v>
      </c>
      <c r="F176" s="129" t="n">
        <v>4</v>
      </c>
      <c r="G176" s="129" t="n">
        <v>4612</v>
      </c>
      <c r="H176" s="129" t="n">
        <v>83</v>
      </c>
      <c r="I176" s="129" t="n">
        <v>4529</v>
      </c>
      <c r="J176" s="130" t="n">
        <v>214.49</v>
      </c>
      <c r="K176" s="130" t="n">
        <v>208</v>
      </c>
      <c r="L176" s="219">
        <f>F176*(K176-J176)</f>
        <v/>
      </c>
    </row>
    <row r="177" ht="16.5" customHeight="1">
      <c r="A177" s="132" t="n"/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A178" s="131" t="n"/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景碩(3189)</t>
        </is>
      </c>
      <c r="E178" s="129" t="n">
        <v>329</v>
      </c>
      <c r="F178" s="129" t="n">
        <v>76</v>
      </c>
      <c r="G178" s="129" t="n">
        <v>29439</v>
      </c>
      <c r="H178" s="129" t="n">
        <v>6934</v>
      </c>
      <c r="I178" s="129" t="n">
        <v>22505</v>
      </c>
      <c r="J178" s="130" t="n">
        <v>894.8099999999999</v>
      </c>
      <c r="K178" s="130" t="n">
        <v>912.42</v>
      </c>
      <c r="L178" s="220">
        <f>F178*(K178-J178)</f>
        <v/>
      </c>
    </row>
    <row r="179" ht="16.5" customHeight="1">
      <c r="A179" s="131" t="n"/>
      <c r="B179" s="131" t="n"/>
      <c r="C179" s="131" t="n"/>
      <c r="D179" s="128" t="inlineStr">
        <is>
          <t>智邦(2345)</t>
        </is>
      </c>
      <c r="E179" s="129" t="n">
        <v>56</v>
      </c>
      <c r="F179" s="129" t="n">
        <v>8</v>
      </c>
      <c r="G179" s="129" t="n">
        <v>14864</v>
      </c>
      <c r="H179" s="129" t="n">
        <v>2088</v>
      </c>
      <c r="I179" s="129" t="n">
        <v>12776</v>
      </c>
      <c r="J179" s="130" t="n">
        <v>2654.38</v>
      </c>
      <c r="K179" s="130" t="n">
        <v>2609.5</v>
      </c>
      <c r="L179" s="219">
        <f>F179*(K179-J179)</f>
        <v/>
      </c>
    </row>
    <row r="180" ht="16.5" customHeight="1">
      <c r="A180" s="131" t="n"/>
      <c r="B180" s="131" t="n"/>
      <c r="C180" s="131" t="n"/>
      <c r="D180" s="128" t="inlineStr">
        <is>
          <t>聯發科(2454)</t>
        </is>
      </c>
      <c r="E180" s="129" t="n">
        <v>33</v>
      </c>
      <c r="F180" s="129" t="n">
        <v>17</v>
      </c>
      <c r="G180" s="129" t="n">
        <v>14478</v>
      </c>
      <c r="H180" s="129" t="n">
        <v>7179</v>
      </c>
      <c r="I180" s="129" t="n">
        <v>7299</v>
      </c>
      <c r="J180" s="130" t="n">
        <v>4387.15</v>
      </c>
      <c r="K180" s="130" t="n">
        <v>4222.76</v>
      </c>
      <c r="L180" s="219">
        <f>F180*(K180-J180)</f>
        <v/>
      </c>
    </row>
    <row r="181" ht="16.5" customHeight="1">
      <c r="A181" s="131" t="n"/>
      <c r="B181" s="131" t="n"/>
      <c r="C181" s="131" t="n"/>
      <c r="D181" s="128" t="inlineStr">
        <is>
          <t>臻鼎-KY(4958)</t>
        </is>
      </c>
      <c r="E181" s="129" t="n">
        <v>136</v>
      </c>
      <c r="F181" s="129" t="n">
        <v>51</v>
      </c>
      <c r="G181" s="129" t="n">
        <v>8535</v>
      </c>
      <c r="H181" s="129" t="n">
        <v>3166</v>
      </c>
      <c r="I181" s="129" t="n">
        <v>5369</v>
      </c>
      <c r="J181" s="130" t="n">
        <v>627.5599999999999</v>
      </c>
      <c r="K181" s="130" t="n">
        <v>620.88</v>
      </c>
      <c r="L181" s="219">
        <f>F181*(K181-J181)</f>
        <v/>
      </c>
    </row>
    <row r="182" ht="16.5" customHeight="1">
      <c r="A182" s="131" t="n"/>
      <c r="B182" s="131" t="n"/>
      <c r="C182" s="131" t="n"/>
      <c r="D182" s="128" t="inlineStr">
        <is>
          <t>南亞科(2408)</t>
        </is>
      </c>
      <c r="E182" s="129" t="n">
        <v>190</v>
      </c>
      <c r="F182" s="129" t="n">
        <v>172</v>
      </c>
      <c r="G182" s="129" t="n">
        <v>7998</v>
      </c>
      <c r="H182" s="129" t="n">
        <v>7247</v>
      </c>
      <c r="I182" s="129" t="n">
        <v>751</v>
      </c>
      <c r="J182" s="130" t="n">
        <v>420.95</v>
      </c>
      <c r="K182" s="130" t="n">
        <v>421.33</v>
      </c>
      <c r="L182" s="220">
        <f>F182*(K182-J182)</f>
        <v/>
      </c>
    </row>
    <row r="183" ht="16.5" customHeight="1">
      <c r="A183" s="131" t="n"/>
      <c r="B183" s="131" t="n"/>
      <c r="C183" s="131" t="n"/>
      <c r="D183" s="128" t="inlineStr">
        <is>
          <t>群創(3481)</t>
        </is>
      </c>
      <c r="E183" s="129" t="n">
        <v>1082</v>
      </c>
      <c r="F183" s="129" t="n">
        <v>756</v>
      </c>
      <c r="G183" s="129" t="n">
        <v>7471</v>
      </c>
      <c r="H183" s="129" t="n">
        <v>5328</v>
      </c>
      <c r="I183" s="129" t="n">
        <v>2143</v>
      </c>
      <c r="J183" s="130" t="n">
        <v>69.05</v>
      </c>
      <c r="K183" s="130" t="n">
        <v>70.47</v>
      </c>
      <c r="L183" s="220">
        <f>F183*(K183-J183)</f>
        <v/>
      </c>
    </row>
    <row r="184" ht="16.5" customHeight="1">
      <c r="A184" s="131" t="n"/>
      <c r="B184" s="131" t="n"/>
      <c r="C184" s="131" t="n"/>
      <c r="D184" s="128" t="inlineStr">
        <is>
          <t>盟立(2464)</t>
        </is>
      </c>
      <c r="E184" s="129" t="n">
        <v>404</v>
      </c>
      <c r="F184" s="129" t="n">
        <v>57</v>
      </c>
      <c r="G184" s="129" t="n">
        <v>7381</v>
      </c>
      <c r="H184" s="129" t="n">
        <v>1078</v>
      </c>
      <c r="I184" s="129" t="n">
        <v>6303</v>
      </c>
      <c r="J184" s="130" t="n">
        <v>182.7</v>
      </c>
      <c r="K184" s="130" t="n">
        <v>189.21</v>
      </c>
      <c r="L184" s="220">
        <f>F184*(K184-J184)</f>
        <v/>
      </c>
    </row>
    <row r="185" ht="16.5" customHeight="1">
      <c r="A185" s="131" t="n"/>
      <c r="B185" s="131" t="n"/>
      <c r="C185" s="131" t="n"/>
      <c r="D185" s="128" t="inlineStr">
        <is>
          <t>華邦電(2344)</t>
        </is>
      </c>
      <c r="E185" s="129" t="n">
        <v>354</v>
      </c>
      <c r="F185" s="129" t="n">
        <v>213</v>
      </c>
      <c r="G185" s="129" t="n">
        <v>6904</v>
      </c>
      <c r="H185" s="129" t="n">
        <v>4117</v>
      </c>
      <c r="I185" s="129" t="n">
        <v>2787</v>
      </c>
      <c r="J185" s="130" t="n">
        <v>195.02</v>
      </c>
      <c r="K185" s="130" t="n">
        <v>193.28</v>
      </c>
      <c r="L185" s="219">
        <f>F185*(K185-J185)</f>
        <v/>
      </c>
    </row>
    <row r="186" ht="16.5" customHeight="1">
      <c r="A186" s="131" t="n"/>
      <c r="B186" s="131" t="n"/>
      <c r="C186" s="131" t="n"/>
      <c r="D186" s="128" t="inlineStr">
        <is>
          <t>欣興(3037)</t>
        </is>
      </c>
      <c r="E186" s="129" t="n">
        <v>50</v>
      </c>
      <c r="F186" s="129" t="n">
        <v>29</v>
      </c>
      <c r="G186" s="129" t="n">
        <v>5216</v>
      </c>
      <c r="H186" s="129" t="n">
        <v>2965</v>
      </c>
      <c r="I186" s="129" t="n">
        <v>2251</v>
      </c>
      <c r="J186" s="130" t="n">
        <v>1043.24</v>
      </c>
      <c r="K186" s="130" t="n">
        <v>1022.31</v>
      </c>
      <c r="L186" s="219">
        <f>F186*(K186-J186)</f>
        <v/>
      </c>
    </row>
    <row r="187" ht="16.5" customHeight="1">
      <c r="A187" s="131" t="n"/>
      <c r="B187" s="131" t="n"/>
      <c r="C187" s="131" t="n"/>
      <c r="D187" s="128" t="inlineStr">
        <is>
          <t>創意(3443)</t>
        </is>
      </c>
      <c r="E187" s="129" t="n">
        <v>9</v>
      </c>
      <c r="F187" s="129" t="n">
        <v>4</v>
      </c>
      <c r="G187" s="129" t="n">
        <v>4741</v>
      </c>
      <c r="H187" s="129" t="n">
        <v>1828</v>
      </c>
      <c r="I187" s="129" t="n">
        <v>2913</v>
      </c>
      <c r="J187" s="130" t="n">
        <v>5268</v>
      </c>
      <c r="K187" s="130" t="n">
        <v>4569.25</v>
      </c>
      <c r="L187" s="219">
        <f>F187*(K187-J187)</f>
        <v/>
      </c>
    </row>
    <row r="188" ht="16.5" customHeight="1">
      <c r="A188" s="132" t="n"/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A189" s="131" t="n"/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南亞科(2408)</t>
        </is>
      </c>
      <c r="E189" s="129" t="n">
        <v>260</v>
      </c>
      <c r="F189" s="129" t="n">
        <v>37</v>
      </c>
      <c r="G189" s="129" t="n">
        <v>11302</v>
      </c>
      <c r="H189" s="129" t="n">
        <v>1610</v>
      </c>
      <c r="I189" s="129" t="n">
        <v>9692</v>
      </c>
      <c r="J189" s="130" t="n">
        <v>434.69</v>
      </c>
      <c r="K189" s="130" t="n">
        <v>435.05</v>
      </c>
      <c r="L189" s="220">
        <f>F189*(K189-J189)</f>
        <v/>
      </c>
    </row>
    <row r="190" ht="16.5" customHeight="1">
      <c r="A190" s="131" t="n"/>
      <c r="B190" s="131" t="n"/>
      <c r="C190" s="131" t="n"/>
      <c r="D190" s="128" t="inlineStr">
        <is>
          <t>智邦(2345)</t>
        </is>
      </c>
      <c r="E190" s="129" t="n">
        <v>20</v>
      </c>
      <c r="F190" s="129" t="n">
        <v>13</v>
      </c>
      <c r="G190" s="129" t="n">
        <v>5230</v>
      </c>
      <c r="H190" s="129" t="n">
        <v>3343</v>
      </c>
      <c r="I190" s="129" t="n">
        <v>1887</v>
      </c>
      <c r="J190" s="130" t="n">
        <v>2615.15</v>
      </c>
      <c r="K190" s="130" t="n">
        <v>2571.38</v>
      </c>
      <c r="L190" s="219">
        <f>F190*(K190-J190)</f>
        <v/>
      </c>
    </row>
    <row r="191" ht="16.5" customHeight="1">
      <c r="A191" s="131" t="n"/>
      <c r="B191" s="131" t="n"/>
      <c r="C191" s="131" t="n"/>
      <c r="D191" s="128" t="inlineStr">
        <is>
          <t>聯發科(2454)</t>
        </is>
      </c>
      <c r="E191" s="129" t="n">
        <v>11</v>
      </c>
      <c r="F191" s="129" t="n">
        <v>10</v>
      </c>
      <c r="G191" s="129" t="n">
        <v>4985</v>
      </c>
      <c r="H191" s="129" t="n">
        <v>4384</v>
      </c>
      <c r="I191" s="129" t="n">
        <v>601</v>
      </c>
      <c r="J191" s="130" t="n">
        <v>4531.73</v>
      </c>
      <c r="K191" s="130" t="n">
        <v>4384.4</v>
      </c>
      <c r="L191" s="219">
        <f>F191*(K191-J191)</f>
        <v/>
      </c>
    </row>
    <row r="192" ht="16.5" customHeight="1">
      <c r="A192" s="131" t="n"/>
      <c r="B192" s="131" t="n"/>
      <c r="C192" s="131" t="n"/>
      <c r="D192" s="128" t="inlineStr">
        <is>
          <t>國巨*(2327)</t>
        </is>
      </c>
      <c r="E192" s="129" t="n">
        <v>42</v>
      </c>
      <c r="F192" s="129" t="n">
        <v>21</v>
      </c>
      <c r="G192" s="129" t="n">
        <v>4778</v>
      </c>
      <c r="H192" s="129" t="n">
        <v>2361</v>
      </c>
      <c r="I192" s="129" t="n">
        <v>2417</v>
      </c>
      <c r="J192" s="130" t="n">
        <v>1137.57</v>
      </c>
      <c r="K192" s="130" t="n">
        <v>1124.14</v>
      </c>
      <c r="L192" s="219">
        <f>F192*(K192-J192)</f>
        <v/>
      </c>
    </row>
    <row r="193" ht="16.5" customHeight="1">
      <c r="A193" s="131" t="n"/>
      <c r="B193" s="131" t="n"/>
      <c r="C193" s="131" t="n"/>
      <c r="D193" s="128" t="inlineStr">
        <is>
          <t>景碩(3189)</t>
        </is>
      </c>
      <c r="E193" s="129" t="n">
        <v>47</v>
      </c>
      <c r="F193" s="129" t="n">
        <v>24</v>
      </c>
      <c r="G193" s="129" t="n">
        <v>4152</v>
      </c>
      <c r="H193" s="129" t="n">
        <v>2110</v>
      </c>
      <c r="I193" s="129" t="n">
        <v>2042</v>
      </c>
      <c r="J193" s="130" t="n">
        <v>883.49</v>
      </c>
      <c r="K193" s="130" t="n">
        <v>879.12</v>
      </c>
      <c r="L193" s="219">
        <f>F193*(K193-J193)</f>
        <v/>
      </c>
    </row>
    <row r="194" ht="16.5" customHeight="1">
      <c r="A194" s="131" t="n"/>
      <c r="B194" s="131" t="n"/>
      <c r="C194" s="131" t="n"/>
      <c r="D194" s="128" t="inlineStr">
        <is>
          <t>群創(3481)</t>
        </is>
      </c>
      <c r="E194" s="129" t="n">
        <v>538</v>
      </c>
      <c r="F194" s="129" t="n">
        <v>461</v>
      </c>
      <c r="G194" s="129" t="n">
        <v>3761</v>
      </c>
      <c r="H194" s="129" t="n">
        <v>3227</v>
      </c>
      <c r="I194" s="129" t="n">
        <v>534</v>
      </c>
      <c r="J194" s="130" t="n">
        <v>69.90000000000001</v>
      </c>
      <c r="K194" s="130" t="n">
        <v>70</v>
      </c>
      <c r="L194" s="220">
        <f>F194*(K194-J194)</f>
        <v/>
      </c>
    </row>
    <row r="195" ht="16.5" customHeight="1">
      <c r="A195" s="131" t="n"/>
      <c r="B195" s="131" t="n"/>
      <c r="C195" s="131" t="n"/>
      <c r="D195" s="128" t="inlineStr">
        <is>
          <t>創見(2451)</t>
        </is>
      </c>
      <c r="E195" s="129" t="n">
        <v>146</v>
      </c>
      <c r="F195" s="129" t="n">
        <v>8</v>
      </c>
      <c r="G195" s="129" t="n">
        <v>3703</v>
      </c>
      <c r="H195" s="129" t="n">
        <v>205</v>
      </c>
      <c r="I195" s="129" t="n">
        <v>3498</v>
      </c>
      <c r="J195" s="130" t="n">
        <v>253.63</v>
      </c>
      <c r="K195" s="130" t="n">
        <v>256.5</v>
      </c>
      <c r="L195" s="220">
        <f>F195*(K195-J195)</f>
        <v/>
      </c>
    </row>
    <row r="196" ht="16.5" customHeight="1">
      <c r="A196" s="131" t="n"/>
      <c r="B196" s="131" t="n"/>
      <c r="C196" s="131" t="n"/>
      <c r="D196" s="128" t="inlineStr">
        <is>
          <t>臻鼎-KY(4958)</t>
        </is>
      </c>
      <c r="E196" s="129" t="n">
        <v>53</v>
      </c>
      <c r="F196" s="129" t="n">
        <v>25</v>
      </c>
      <c r="G196" s="129" t="n">
        <v>3188</v>
      </c>
      <c r="H196" s="129" t="n">
        <v>1481</v>
      </c>
      <c r="I196" s="129" t="n">
        <v>1707</v>
      </c>
      <c r="J196" s="130" t="n">
        <v>601.51</v>
      </c>
      <c r="K196" s="130" t="n">
        <v>592.28</v>
      </c>
      <c r="L196" s="219">
        <f>F196*(K196-J196)</f>
        <v/>
      </c>
    </row>
    <row r="197" ht="16.5" customHeight="1">
      <c r="A197" s="131" t="n"/>
      <c r="B197" s="131" t="n"/>
      <c r="C197" s="131" t="n"/>
      <c r="D197" s="128" t="inlineStr">
        <is>
          <t>友達(2409)</t>
        </is>
      </c>
      <c r="E197" s="129" t="n">
        <v>963</v>
      </c>
      <c r="F197" s="129" t="n">
        <v>910</v>
      </c>
      <c r="G197" s="129" t="n">
        <v>2952</v>
      </c>
      <c r="H197" s="129" t="n">
        <v>2789</v>
      </c>
      <c r="I197" s="129" t="n">
        <v>163</v>
      </c>
      <c r="J197" s="130" t="n">
        <v>30.65</v>
      </c>
      <c r="K197" s="130" t="n">
        <v>30.65</v>
      </c>
      <c r="L197" s="220">
        <f>F197*(K197-J197)</f>
        <v/>
      </c>
    </row>
    <row r="198" ht="16.5" customHeight="1">
      <c r="A198" s="131" t="n"/>
      <c r="B198" s="131" t="n"/>
      <c r="C198" s="131" t="n"/>
      <c r="D198" s="128" t="inlineStr">
        <is>
          <t>華邦電(2344)</t>
        </is>
      </c>
      <c r="E198" s="129" t="n">
        <v>149</v>
      </c>
      <c r="F198" s="129" t="n">
        <v>63</v>
      </c>
      <c r="G198" s="129" t="n">
        <v>2888</v>
      </c>
      <c r="H198" s="129" t="n">
        <v>1234</v>
      </c>
      <c r="I198" s="129" t="n">
        <v>1654</v>
      </c>
      <c r="J198" s="130" t="n">
        <v>193.83</v>
      </c>
      <c r="K198" s="130" t="n">
        <v>195.92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緯穎(6669)</t>
        </is>
      </c>
      <c r="E200" s="136" t="n">
        <v>28</v>
      </c>
      <c r="F200" s="136" t="n">
        <v>1</v>
      </c>
      <c r="G200" s="136" t="n">
        <v>13963</v>
      </c>
      <c r="H200" s="136" t="n">
        <v>180</v>
      </c>
      <c r="I200" s="136" t="n">
        <v>13783</v>
      </c>
      <c r="J200" s="137" t="n">
        <v>4986.71</v>
      </c>
      <c r="K200" s="137" t="n">
        <v>1805</v>
      </c>
      <c r="L200" s="219">
        <f>F200*(K200-J200)</f>
        <v/>
      </c>
    </row>
    <row r="201" ht="16.5" customHeight="1">
      <c r="A201" s="138" t="n"/>
      <c r="B201" s="138" t="n"/>
      <c r="C201" s="138" t="n"/>
      <c r="D201" s="135" t="inlineStr">
        <is>
          <t>鉅祥(2476)</t>
        </is>
      </c>
      <c r="E201" s="136" t="n">
        <v>530</v>
      </c>
      <c r="F201" s="136" t="n">
        <v>0</v>
      </c>
      <c r="G201" s="136" t="n">
        <v>6805</v>
      </c>
      <c r="H201" s="136" t="n">
        <v>0</v>
      </c>
      <c r="I201" s="136" t="n">
        <v>6805</v>
      </c>
      <c r="J201" s="137" t="n">
        <v>128.39</v>
      </c>
      <c r="K201" s="137" t="n">
        <v>0</v>
      </c>
      <c r="L201" s="220">
        <f>F201*(K201-J201)</f>
        <v/>
      </c>
    </row>
    <row r="202" ht="16.5" customHeight="1">
      <c r="A202" s="138" t="n"/>
      <c r="B202" s="138" t="n"/>
      <c r="C202" s="138" t="n"/>
      <c r="D202" s="135" t="inlineStr">
        <is>
          <t>華邦電(2344)</t>
        </is>
      </c>
      <c r="E202" s="136" t="n">
        <v>221</v>
      </c>
      <c r="F202" s="136" t="n">
        <v>83</v>
      </c>
      <c r="G202" s="136" t="n">
        <v>4391</v>
      </c>
      <c r="H202" s="136" t="n">
        <v>1594</v>
      </c>
      <c r="I202" s="136" t="n">
        <v>2797</v>
      </c>
      <c r="J202" s="137" t="n">
        <v>198.69</v>
      </c>
      <c r="K202" s="137" t="n">
        <v>191.99</v>
      </c>
      <c r="L202" s="219">
        <f>F202*(K202-J202)</f>
        <v/>
      </c>
    </row>
    <row r="203" ht="16.5" customHeight="1">
      <c r="A203" s="138" t="n"/>
      <c r="B203" s="138" t="n"/>
      <c r="C203" s="138" t="n"/>
      <c r="D203" s="135" t="inlineStr">
        <is>
          <t>南亞科(2408)</t>
        </is>
      </c>
      <c r="E203" s="136" t="n">
        <v>74</v>
      </c>
      <c r="F203" s="136" t="n">
        <v>45</v>
      </c>
      <c r="G203" s="136" t="n">
        <v>3173</v>
      </c>
      <c r="H203" s="136" t="n">
        <v>1936</v>
      </c>
      <c r="I203" s="136" t="n">
        <v>1237</v>
      </c>
      <c r="J203" s="137" t="n">
        <v>428.84</v>
      </c>
      <c r="K203" s="137" t="n">
        <v>430.24</v>
      </c>
      <c r="L203" s="220">
        <f>F203*(K203-J203)</f>
        <v/>
      </c>
    </row>
    <row r="204" ht="16.5" customHeight="1">
      <c r="A204" s="138" t="n"/>
      <c r="B204" s="138" t="n"/>
      <c r="C204" s="138" t="n"/>
      <c r="D204" s="135" t="inlineStr">
        <is>
          <t>群創(3481)</t>
        </is>
      </c>
      <c r="E204" s="136" t="n">
        <v>238</v>
      </c>
      <c r="F204" s="136" t="n">
        <v>199</v>
      </c>
      <c r="G204" s="136" t="n">
        <v>1649</v>
      </c>
      <c r="H204" s="136" t="n">
        <v>1387</v>
      </c>
      <c r="I204" s="136" t="n">
        <v>262</v>
      </c>
      <c r="J204" s="137" t="n">
        <v>69.3</v>
      </c>
      <c r="K204" s="137" t="n">
        <v>69.7</v>
      </c>
      <c r="L204" s="220">
        <f>F204*(K204-J204)</f>
        <v/>
      </c>
    </row>
    <row r="205" ht="16.5" customHeight="1">
      <c r="A205" s="138" t="n"/>
      <c r="B205" s="138" t="n"/>
      <c r="C205" s="138" t="n"/>
      <c r="D205" s="135" t="inlineStr">
        <is>
          <t>華碩(2357)</t>
        </is>
      </c>
      <c r="E205" s="136" t="n">
        <v>21</v>
      </c>
      <c r="F205" s="136" t="n">
        <v>6</v>
      </c>
      <c r="G205" s="136" t="n">
        <v>1374</v>
      </c>
      <c r="H205" s="136" t="n">
        <v>390</v>
      </c>
      <c r="I205" s="136" t="n">
        <v>984</v>
      </c>
      <c r="J205" s="137" t="n">
        <v>654.14</v>
      </c>
      <c r="K205" s="137" t="n">
        <v>650.83</v>
      </c>
      <c r="L205" s="219">
        <f>F205*(K205-J205)</f>
        <v/>
      </c>
    </row>
    <row r="206" ht="16.5" customHeight="1">
      <c r="A206" s="138" t="n"/>
      <c r="B206" s="138" t="n"/>
      <c r="C206" s="138" t="n"/>
      <c r="D206" s="135" t="inlineStr">
        <is>
          <t>志聖(2467)</t>
        </is>
      </c>
      <c r="E206" s="136" t="n">
        <v>20</v>
      </c>
      <c r="F206" s="136" t="n">
        <v>1</v>
      </c>
      <c r="G206" s="136" t="n">
        <v>1316</v>
      </c>
      <c r="H206" s="136" t="n">
        <v>4</v>
      </c>
      <c r="I206" s="136" t="n">
        <v>1312</v>
      </c>
      <c r="J206" s="137" t="n">
        <v>658</v>
      </c>
      <c r="K206" s="137" t="n">
        <v>39</v>
      </c>
      <c r="L206" s="219">
        <f>F206*(K206-J206)</f>
        <v/>
      </c>
    </row>
    <row r="207" ht="16.5" customHeight="1">
      <c r="A207" s="138" t="n"/>
      <c r="B207" s="138" t="n"/>
      <c r="C207" s="138" t="n"/>
      <c r="D207" s="135" t="inlineStr">
        <is>
          <t>南電(8046)</t>
        </is>
      </c>
      <c r="E207" s="136" t="n">
        <v>10</v>
      </c>
      <c r="F207" s="136" t="n">
        <v>7</v>
      </c>
      <c r="G207" s="136" t="n">
        <v>1211</v>
      </c>
      <c r="H207" s="136" t="n">
        <v>855</v>
      </c>
      <c r="I207" s="136" t="n">
        <v>356</v>
      </c>
      <c r="J207" s="137" t="n">
        <v>1211.3</v>
      </c>
      <c r="K207" s="137" t="n">
        <v>1222</v>
      </c>
      <c r="L207" s="220">
        <f>F207*(K207-J207)</f>
        <v/>
      </c>
    </row>
    <row r="208" ht="16.5" customHeight="1">
      <c r="A208" s="138" t="n"/>
      <c r="B208" s="138" t="n"/>
      <c r="C208" s="138" t="n"/>
      <c r="D208" s="135" t="inlineStr">
        <is>
          <t>尖點(8021)</t>
        </is>
      </c>
      <c r="E208" s="136" t="n">
        <v>20</v>
      </c>
      <c r="F208" s="136" t="n">
        <v>10</v>
      </c>
      <c r="G208" s="136" t="n">
        <v>1095</v>
      </c>
      <c r="H208" s="136" t="n">
        <v>545</v>
      </c>
      <c r="I208" s="136" t="n">
        <v>550</v>
      </c>
      <c r="J208" s="137" t="n">
        <v>547.5</v>
      </c>
      <c r="K208" s="137" t="n">
        <v>544.9</v>
      </c>
      <c r="L208" s="219">
        <f>F208*(K208-J208)</f>
        <v/>
      </c>
    </row>
    <row r="209" ht="16.5" customHeight="1">
      <c r="A209" s="138" t="n"/>
      <c r="B209" s="138" t="n"/>
      <c r="C209" s="138" t="n"/>
      <c r="D209" s="135" t="inlineStr">
        <is>
          <t>九豪(6127)</t>
        </is>
      </c>
      <c r="E209" s="136" t="n">
        <v>99</v>
      </c>
      <c r="F209" s="136" t="n">
        <v>65</v>
      </c>
      <c r="G209" s="136" t="n">
        <v>985</v>
      </c>
      <c r="H209" s="136" t="n">
        <v>647</v>
      </c>
      <c r="I209" s="136" t="n">
        <v>338</v>
      </c>
      <c r="J209" s="137" t="n">
        <v>99.51000000000001</v>
      </c>
      <c r="K209" s="137" t="n">
        <v>99.55</v>
      </c>
      <c r="L209" s="220">
        <f>F209*(K209-J209)</f>
        <v/>
      </c>
    </row>
    <row r="210" ht="16.5" customHeight="1">
      <c r="A210" s="139" t="n"/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A211" s="138" t="n"/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智邦(2345)</t>
        </is>
      </c>
      <c r="E211" s="136" t="n">
        <v>124</v>
      </c>
      <c r="F211" s="136" t="n">
        <v>22</v>
      </c>
      <c r="G211" s="136" t="n">
        <v>32443</v>
      </c>
      <c r="H211" s="136" t="n">
        <v>5894</v>
      </c>
      <c r="I211" s="136" t="n">
        <v>26549</v>
      </c>
      <c r="J211" s="137" t="n">
        <v>2616.39</v>
      </c>
      <c r="K211" s="137" t="n">
        <v>2678.91</v>
      </c>
      <c r="L211" s="220">
        <f>F211*(K211-J211)</f>
        <v/>
      </c>
    </row>
    <row r="212" ht="16.5" customHeight="1">
      <c r="A212" s="138" t="n"/>
      <c r="B212" s="138" t="n"/>
      <c r="C212" s="138" t="n"/>
      <c r="D212" s="135" t="inlineStr">
        <is>
          <t>穎崴(6515)</t>
        </is>
      </c>
      <c r="E212" s="136" t="n">
        <v>20</v>
      </c>
      <c r="F212" s="136" t="n">
        <v>1</v>
      </c>
      <c r="G212" s="136" t="n">
        <v>17424</v>
      </c>
      <c r="H212" s="136" t="n">
        <v>1</v>
      </c>
      <c r="I212" s="136" t="n">
        <v>17423</v>
      </c>
      <c r="J212" s="137" t="n">
        <v>8712.25</v>
      </c>
      <c r="K212" s="137" t="n">
        <v>9</v>
      </c>
      <c r="L212" s="219">
        <f>F212*(K212-J212)</f>
        <v/>
      </c>
    </row>
    <row r="213" ht="16.5" customHeight="1">
      <c r="A213" s="138" t="n"/>
      <c r="B213" s="138" t="n"/>
      <c r="C213" s="138" t="n"/>
      <c r="D213" s="135" t="inlineStr">
        <is>
          <t>緯穎(6669)</t>
        </is>
      </c>
      <c r="E213" s="136" t="n">
        <v>24</v>
      </c>
      <c r="F213" s="136" t="n">
        <v>6</v>
      </c>
      <c r="G213" s="136" t="n">
        <v>11975</v>
      </c>
      <c r="H213" s="136" t="n">
        <v>2992</v>
      </c>
      <c r="I213" s="136" t="n">
        <v>8983</v>
      </c>
      <c r="J213" s="137" t="n">
        <v>4989.75</v>
      </c>
      <c r="K213" s="137" t="n">
        <v>4986.67</v>
      </c>
      <c r="L213" s="219">
        <f>F213*(K213-J213)</f>
        <v/>
      </c>
    </row>
    <row r="214" ht="16.5" customHeight="1">
      <c r="A214" s="138" t="n"/>
      <c r="B214" s="138" t="n"/>
      <c r="C214" s="138" t="n"/>
      <c r="D214" s="135" t="inlineStr">
        <is>
          <t>世芯-KY(3661)</t>
        </is>
      </c>
      <c r="E214" s="136" t="n">
        <v>20</v>
      </c>
      <c r="F214" s="136" t="n">
        <v>1</v>
      </c>
      <c r="G214" s="136" t="n">
        <v>8762</v>
      </c>
      <c r="H214" s="136" t="n">
        <v>443</v>
      </c>
      <c r="I214" s="136" t="n">
        <v>8319</v>
      </c>
      <c r="J214" s="137" t="n">
        <v>4381.2</v>
      </c>
      <c r="K214" s="137" t="n">
        <v>4430</v>
      </c>
      <c r="L214" s="220">
        <f>F214*(K214-J214)</f>
        <v/>
      </c>
    </row>
    <row r="215" ht="16.5" customHeight="1">
      <c r="A215" s="138" t="n"/>
      <c r="B215" s="138" t="n"/>
      <c r="C215" s="138" t="n"/>
      <c r="D215" s="135" t="inlineStr">
        <is>
          <t>南電(8046)</t>
        </is>
      </c>
      <c r="E215" s="136" t="n">
        <v>69</v>
      </c>
      <c r="F215" s="136" t="n">
        <v>14</v>
      </c>
      <c r="G215" s="136" t="n">
        <v>8066</v>
      </c>
      <c r="H215" s="136" t="n">
        <v>1693</v>
      </c>
      <c r="I215" s="136" t="n">
        <v>6373</v>
      </c>
      <c r="J215" s="137" t="n">
        <v>1168.94</v>
      </c>
      <c r="K215" s="137" t="n">
        <v>1209.5</v>
      </c>
      <c r="L215" s="220">
        <f>F215*(K215-J215)</f>
        <v/>
      </c>
    </row>
    <row r="216" ht="16.5" customHeight="1">
      <c r="A216" s="138" t="n"/>
      <c r="B216" s="138" t="n"/>
      <c r="C216" s="138" t="n"/>
      <c r="D216" s="135" t="inlineStr">
        <is>
          <t>國巨*(2327)</t>
        </is>
      </c>
      <c r="E216" s="136" t="n">
        <v>69</v>
      </c>
      <c r="F216" s="136" t="n">
        <v>55</v>
      </c>
      <c r="G216" s="136" t="n">
        <v>7866</v>
      </c>
      <c r="H216" s="136" t="n">
        <v>6228</v>
      </c>
      <c r="I216" s="136" t="n">
        <v>1638</v>
      </c>
      <c r="J216" s="137" t="n">
        <v>1139.97</v>
      </c>
      <c r="K216" s="137" t="n">
        <v>1132.45</v>
      </c>
      <c r="L216" s="219">
        <f>F216*(K216-J216)</f>
        <v/>
      </c>
    </row>
    <row r="217" ht="16.5" customHeight="1">
      <c r="A217" s="138" t="n"/>
      <c r="B217" s="138" t="n"/>
      <c r="C217" s="138" t="n"/>
      <c r="D217" s="135" t="inlineStr">
        <is>
          <t>邁科(6831)</t>
        </is>
      </c>
      <c r="E217" s="136" t="n">
        <v>81</v>
      </c>
      <c r="F217" s="136" t="n">
        <v>1</v>
      </c>
      <c r="G217" s="136" t="n">
        <v>7576</v>
      </c>
      <c r="H217" s="136" t="n">
        <v>92</v>
      </c>
      <c r="I217" s="136" t="n">
        <v>7484</v>
      </c>
      <c r="J217" s="137" t="n">
        <v>935.35</v>
      </c>
      <c r="K217" s="137" t="n">
        <v>925</v>
      </c>
      <c r="L217" s="219">
        <f>F217*(K217-J217)</f>
        <v/>
      </c>
    </row>
    <row r="218" ht="16.5" customHeight="1">
      <c r="A218" s="138" t="n"/>
      <c r="B218" s="138" t="n"/>
      <c r="C218" s="138" t="n"/>
      <c r="D218" s="135" t="inlineStr">
        <is>
          <t>景碩(3189)</t>
        </is>
      </c>
      <c r="E218" s="136" t="n">
        <v>74</v>
      </c>
      <c r="F218" s="136" t="n">
        <v>31</v>
      </c>
      <c r="G218" s="136" t="n">
        <v>6605</v>
      </c>
      <c r="H218" s="136" t="n">
        <v>2784</v>
      </c>
      <c r="I218" s="136" t="n">
        <v>3821</v>
      </c>
      <c r="J218" s="137" t="n">
        <v>892.62</v>
      </c>
      <c r="K218" s="137" t="n">
        <v>897.9400000000001</v>
      </c>
      <c r="L218" s="220">
        <f>F218*(K218-J218)</f>
        <v/>
      </c>
    </row>
    <row r="219" ht="16.5" customHeight="1">
      <c r="A219" s="138" t="n"/>
      <c r="B219" s="138" t="n"/>
      <c r="C219" s="138" t="n"/>
      <c r="D219" s="135" t="inlineStr">
        <is>
          <t>健策(3653)</t>
        </is>
      </c>
      <c r="E219" s="136" t="n">
        <v>19</v>
      </c>
      <c r="F219" s="136" t="n">
        <v>10</v>
      </c>
      <c r="G219" s="136" t="n">
        <v>6310</v>
      </c>
      <c r="H219" s="136" t="n">
        <v>3472</v>
      </c>
      <c r="I219" s="136" t="n">
        <v>2838</v>
      </c>
      <c r="J219" s="137" t="n">
        <v>3321</v>
      </c>
      <c r="K219" s="137" t="n">
        <v>3472.5</v>
      </c>
      <c r="L219" s="220">
        <f>F219*(K219-J219)</f>
        <v/>
      </c>
    </row>
    <row r="220" ht="16.5" customHeight="1">
      <c r="A220" s="138" t="n"/>
      <c r="B220" s="138" t="n"/>
      <c r="C220" s="138" t="n"/>
      <c r="D220" s="135" t="inlineStr">
        <is>
          <t>京元電子(2449)</t>
        </is>
      </c>
      <c r="E220" s="136" t="n">
        <v>153</v>
      </c>
      <c r="F220" s="136" t="n">
        <v>26</v>
      </c>
      <c r="G220" s="136" t="n">
        <v>5169</v>
      </c>
      <c r="H220" s="136" t="n">
        <v>878</v>
      </c>
      <c r="I220" s="136" t="n">
        <v>4291</v>
      </c>
      <c r="J220" s="137" t="n">
        <v>337.82</v>
      </c>
      <c r="K220" s="137" t="n">
        <v>337.62</v>
      </c>
      <c r="L220" s="219">
        <f>F220*(K220-J220)</f>
        <v/>
      </c>
    </row>
    <row r="221" ht="16.5" customHeight="1">
      <c r="A221" s="139" t="n"/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A222" s="138" t="n"/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南電(8046)</t>
        </is>
      </c>
      <c r="E222" s="136" t="n">
        <v>49</v>
      </c>
      <c r="F222" s="136" t="n">
        <v>1</v>
      </c>
      <c r="G222" s="136" t="n">
        <v>6048</v>
      </c>
      <c r="H222" s="136" t="n">
        <v>180</v>
      </c>
      <c r="I222" s="136" t="n">
        <v>5868</v>
      </c>
      <c r="J222" s="137" t="n">
        <v>1234.35</v>
      </c>
      <c r="K222" s="137" t="n">
        <v>1802</v>
      </c>
      <c r="L222" s="220">
        <f>F222*(K222-J222)</f>
        <v/>
      </c>
    </row>
    <row r="223" ht="16.5" customHeight="1">
      <c r="A223" s="138" t="n"/>
      <c r="B223" s="138" t="n"/>
      <c r="C223" s="138" t="n"/>
      <c r="D223" s="135" t="inlineStr">
        <is>
          <t>日月光投控(3711)</t>
        </is>
      </c>
      <c r="E223" s="136" t="n">
        <v>79</v>
      </c>
      <c r="F223" s="136" t="n">
        <v>11</v>
      </c>
      <c r="G223" s="136" t="n">
        <v>5564</v>
      </c>
      <c r="H223" s="136" t="n">
        <v>777</v>
      </c>
      <c r="I223" s="136" t="n">
        <v>4787</v>
      </c>
      <c r="J223" s="137" t="n">
        <v>704.3</v>
      </c>
      <c r="K223" s="137" t="n">
        <v>706.73</v>
      </c>
      <c r="L223" s="220">
        <f>F223*(K223-J223)</f>
        <v/>
      </c>
    </row>
    <row r="224" ht="16.5" customHeight="1">
      <c r="A224" s="138" t="n"/>
      <c r="B224" s="138" t="n"/>
      <c r="C224" s="138" t="n"/>
      <c r="D224" s="135" t="inlineStr">
        <is>
          <t>國巨*(2327)</t>
        </is>
      </c>
      <c r="E224" s="136" t="n">
        <v>39</v>
      </c>
      <c r="F224" s="136" t="n">
        <v>19</v>
      </c>
      <c r="G224" s="136" t="n">
        <v>4669</v>
      </c>
      <c r="H224" s="136" t="n">
        <v>2247</v>
      </c>
      <c r="I224" s="136" t="n">
        <v>2422</v>
      </c>
      <c r="J224" s="137" t="n">
        <v>1197.21</v>
      </c>
      <c r="K224" s="137" t="n">
        <v>1182.79</v>
      </c>
      <c r="L224" s="219">
        <f>F224*(K224-J224)</f>
        <v/>
      </c>
    </row>
    <row r="225" ht="16.5" customHeight="1">
      <c r="A225" s="138" t="n"/>
      <c r="B225" s="138" t="n"/>
      <c r="C225" s="138" t="n"/>
      <c r="D225" s="135" t="inlineStr">
        <is>
          <t>緯穎(6669)</t>
        </is>
      </c>
      <c r="E225" s="136" t="n">
        <v>8</v>
      </c>
      <c r="F225" s="136" t="n">
        <v>2</v>
      </c>
      <c r="G225" s="136" t="n">
        <v>4020</v>
      </c>
      <c r="H225" s="136" t="n">
        <v>968</v>
      </c>
      <c r="I225" s="136" t="n">
        <v>3052</v>
      </c>
      <c r="J225" s="137" t="n">
        <v>5025.62</v>
      </c>
      <c r="K225" s="137" t="n">
        <v>4837.5</v>
      </c>
      <c r="L225" s="219">
        <f>F225*(K225-J225)</f>
        <v/>
      </c>
    </row>
    <row r="226" ht="16.5" customHeight="1">
      <c r="A226" s="138" t="n"/>
      <c r="B226" s="138" t="n"/>
      <c r="C226" s="138" t="n"/>
      <c r="D226" s="135" t="inlineStr">
        <is>
          <t>旺矽(6223)</t>
        </is>
      </c>
      <c r="E226" s="136" t="n">
        <v>6</v>
      </c>
      <c r="F226" s="136" t="n">
        <v>1</v>
      </c>
      <c r="G226" s="136" t="n">
        <v>3959</v>
      </c>
      <c r="H226" s="136" t="n">
        <v>1</v>
      </c>
      <c r="I226" s="136" t="n">
        <v>3958</v>
      </c>
      <c r="J226" s="137" t="n">
        <v>6597.67</v>
      </c>
      <c r="K226" s="137" t="n">
        <v>7</v>
      </c>
      <c r="L226" s="219">
        <f>F226*(K226-J226)</f>
        <v/>
      </c>
    </row>
    <row r="227" ht="16.5" customHeight="1">
      <c r="A227" s="138" t="n"/>
      <c r="B227" s="138" t="n"/>
      <c r="C227" s="138" t="n"/>
      <c r="D227" s="135" t="inlineStr">
        <is>
          <t>華邦電(2344)</t>
        </is>
      </c>
      <c r="E227" s="136" t="n">
        <v>168</v>
      </c>
      <c r="F227" s="136" t="n">
        <v>97</v>
      </c>
      <c r="G227" s="136" t="n">
        <v>3298</v>
      </c>
      <c r="H227" s="136" t="n">
        <v>1842</v>
      </c>
      <c r="I227" s="136" t="n">
        <v>1456</v>
      </c>
      <c r="J227" s="137" t="n">
        <v>196.34</v>
      </c>
      <c r="K227" s="137" t="n">
        <v>189.93</v>
      </c>
      <c r="L227" s="219">
        <f>F227*(K227-J227)</f>
        <v/>
      </c>
    </row>
    <row r="228" ht="16.5" customHeight="1">
      <c r="A228" s="138" t="n"/>
      <c r="B228" s="138" t="n"/>
      <c r="C228" s="138" t="n"/>
      <c r="D228" s="135" t="inlineStr">
        <is>
          <t>均豪(5443)</t>
        </is>
      </c>
      <c r="E228" s="136" t="n">
        <v>260</v>
      </c>
      <c r="F228" s="136" t="n">
        <v>0</v>
      </c>
      <c r="G228" s="136" t="n">
        <v>3187</v>
      </c>
      <c r="H228" s="136" t="n">
        <v>0</v>
      </c>
      <c r="I228" s="136" t="n">
        <v>3187</v>
      </c>
      <c r="J228" s="137" t="n">
        <v>122.58</v>
      </c>
      <c r="K228" s="137" t="n">
        <v>0</v>
      </c>
      <c r="L228" s="220">
        <f>F228*(K228-J228)</f>
        <v/>
      </c>
    </row>
    <row r="229" ht="16.5" customHeight="1">
      <c r="A229" s="138" t="n"/>
      <c r="B229" s="138" t="n"/>
      <c r="C229" s="138" t="n"/>
      <c r="D229" s="135" t="inlineStr">
        <is>
          <t>禾伸堂(3026)</t>
        </is>
      </c>
      <c r="E229" s="136" t="n">
        <v>31</v>
      </c>
      <c r="F229" s="136" t="n">
        <v>25</v>
      </c>
      <c r="G229" s="136" t="n">
        <v>2831</v>
      </c>
      <c r="H229" s="136" t="n">
        <v>2228</v>
      </c>
      <c r="I229" s="136" t="n">
        <v>603</v>
      </c>
      <c r="J229" s="137" t="n">
        <v>913.1900000000001</v>
      </c>
      <c r="K229" s="137" t="n">
        <v>891</v>
      </c>
      <c r="L229" s="219">
        <f>F229*(K229-J229)</f>
        <v/>
      </c>
    </row>
    <row r="230" ht="16.5" customHeight="1">
      <c r="A230" s="138" t="n"/>
      <c r="B230" s="138" t="n"/>
      <c r="C230" s="138" t="n"/>
      <c r="D230" s="135" t="inlineStr">
        <is>
          <t>榮科(4989)</t>
        </is>
      </c>
      <c r="E230" s="136" t="n">
        <v>217</v>
      </c>
      <c r="F230" s="136" t="n">
        <v>38</v>
      </c>
      <c r="G230" s="136" t="n">
        <v>1961</v>
      </c>
      <c r="H230" s="136" t="n">
        <v>348</v>
      </c>
      <c r="I230" s="136" t="n">
        <v>1613</v>
      </c>
      <c r="J230" s="137" t="n">
        <v>90.36</v>
      </c>
      <c r="K230" s="137" t="n">
        <v>91.68000000000001</v>
      </c>
      <c r="L230" s="220">
        <f>F230*(K230-J230)</f>
        <v/>
      </c>
    </row>
    <row r="231" ht="16.5" customHeight="1">
      <c r="A231" s="138" t="n"/>
      <c r="B231" s="138" t="n"/>
      <c r="C231" s="138" t="n"/>
      <c r="D231" s="135" t="inlineStr">
        <is>
          <t>創意(3443)</t>
        </is>
      </c>
      <c r="E231" s="136" t="n">
        <v>3</v>
      </c>
      <c r="F231" s="136" t="n">
        <v>2</v>
      </c>
      <c r="G231" s="136" t="n">
        <v>1525</v>
      </c>
      <c r="H231" s="136" t="n">
        <v>1057</v>
      </c>
      <c r="I231" s="136" t="n">
        <v>468</v>
      </c>
      <c r="J231" s="137" t="n">
        <v>5083.33</v>
      </c>
      <c r="K231" s="137" t="n">
        <v>5286.5</v>
      </c>
      <c r="L231" s="220">
        <f>F231*(K231-J231)</f>
        <v/>
      </c>
    </row>
    <row r="232" ht="16.5" customHeight="1">
      <c r="A232" s="139" t="n"/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A233" s="138" t="n"/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奇鋐(3017)</t>
        </is>
      </c>
      <c r="E233" s="136" t="n">
        <v>51</v>
      </c>
      <c r="F233" s="136" t="n">
        <v>1</v>
      </c>
      <c r="G233" s="136" t="n">
        <v>13384</v>
      </c>
      <c r="H233" s="136" t="n">
        <v>357</v>
      </c>
      <c r="I233" s="136" t="n">
        <v>13027</v>
      </c>
      <c r="J233" s="137" t="n">
        <v>2624.41</v>
      </c>
      <c r="K233" s="137" t="n">
        <v>3568</v>
      </c>
      <c r="L233" s="220">
        <f>F233*(K233-J233)</f>
        <v/>
      </c>
    </row>
    <row r="234" ht="16.5" customHeight="1">
      <c r="A234" s="138" t="n"/>
      <c r="B234" s="138" t="n"/>
      <c r="C234" s="138" t="n"/>
      <c r="D234" s="135" t="inlineStr">
        <is>
          <t>聯電(2303)</t>
        </is>
      </c>
      <c r="E234" s="136" t="n">
        <v>215</v>
      </c>
      <c r="F234" s="136" t="n">
        <v>22</v>
      </c>
      <c r="G234" s="136" t="n">
        <v>3703</v>
      </c>
      <c r="H234" s="136" t="n">
        <v>367</v>
      </c>
      <c r="I234" s="136" t="n">
        <v>3336</v>
      </c>
      <c r="J234" s="137" t="n">
        <v>172.24</v>
      </c>
      <c r="K234" s="137" t="n">
        <v>166.95</v>
      </c>
      <c r="L234" s="219">
        <f>F234*(K234-J234)</f>
        <v/>
      </c>
    </row>
    <row r="235" ht="16.5" customHeight="1">
      <c r="A235" s="138" t="n"/>
      <c r="B235" s="138" t="n"/>
      <c r="C235" s="138" t="n"/>
      <c r="D235" s="135" t="inlineStr">
        <is>
          <t>世芯-KY(3661)</t>
        </is>
      </c>
      <c r="E235" s="136" t="n">
        <v>6</v>
      </c>
      <c r="F235" s="136" t="n">
        <v>1</v>
      </c>
      <c r="G235" s="136" t="n">
        <v>2672</v>
      </c>
      <c r="H235" s="136" t="n">
        <v>4</v>
      </c>
      <c r="I235" s="136" t="n">
        <v>2668</v>
      </c>
      <c r="J235" s="137" t="n">
        <v>4453</v>
      </c>
      <c r="K235" s="137" t="n">
        <v>42</v>
      </c>
      <c r="L235" s="219">
        <f>F235*(K235-J235)</f>
        <v/>
      </c>
    </row>
    <row r="236" ht="16.5" customHeight="1">
      <c r="A236" s="138" t="n"/>
      <c r="B236" s="138" t="n"/>
      <c r="C236" s="138" t="n"/>
      <c r="D236" s="135" t="inlineStr">
        <is>
          <t>台積電(2330)</t>
        </is>
      </c>
      <c r="E236" s="136" t="n">
        <v>9</v>
      </c>
      <c r="F236" s="136" t="n">
        <v>8</v>
      </c>
      <c r="G236" s="136" t="n">
        <v>2314</v>
      </c>
      <c r="H236" s="136" t="n">
        <v>2108</v>
      </c>
      <c r="I236" s="136" t="n">
        <v>206</v>
      </c>
      <c r="J236" s="137" t="n">
        <v>2571.22</v>
      </c>
      <c r="K236" s="137" t="n">
        <v>2635.38</v>
      </c>
      <c r="L236" s="220">
        <f>F236*(K236-J236)</f>
        <v/>
      </c>
    </row>
    <row r="237" ht="16.5" customHeight="1">
      <c r="A237" s="138" t="n"/>
      <c r="B237" s="138" t="n"/>
      <c r="C237" s="138" t="n"/>
      <c r="D237" s="135" t="inlineStr">
        <is>
          <t>群創(3481)</t>
        </is>
      </c>
      <c r="E237" s="136" t="n">
        <v>238</v>
      </c>
      <c r="F237" s="136" t="n">
        <v>198</v>
      </c>
      <c r="G237" s="136" t="n">
        <v>1654</v>
      </c>
      <c r="H237" s="136" t="n">
        <v>1379</v>
      </c>
      <c r="I237" s="136" t="n">
        <v>275</v>
      </c>
      <c r="J237" s="137" t="n">
        <v>69.47</v>
      </c>
      <c r="K237" s="137" t="n">
        <v>69.66</v>
      </c>
      <c r="L237" s="220">
        <f>F237*(K237-J237)</f>
        <v/>
      </c>
    </row>
    <row r="238" ht="16.5" customHeight="1">
      <c r="A238" s="138" t="n"/>
      <c r="B238" s="138" t="n"/>
      <c r="C238" s="138" t="n"/>
      <c r="D238" s="135" t="inlineStr">
        <is>
          <t>友達(2409)</t>
        </is>
      </c>
      <c r="E238" s="136" t="n">
        <v>248</v>
      </c>
      <c r="F238" s="136" t="n">
        <v>189</v>
      </c>
      <c r="G238" s="136" t="n">
        <v>777</v>
      </c>
      <c r="H238" s="136" t="n">
        <v>600</v>
      </c>
      <c r="I238" s="136" t="n">
        <v>177</v>
      </c>
      <c r="J238" s="137" t="n">
        <v>31.34</v>
      </c>
      <c r="K238" s="137" t="n">
        <v>31.73</v>
      </c>
      <c r="L238" s="220">
        <f>F238*(K238-J238)</f>
        <v/>
      </c>
    </row>
    <row r="239" ht="16.5" customHeight="1">
      <c r="A239" s="138" t="n"/>
      <c r="B239" s="138" t="n"/>
      <c r="C239" s="138" t="n"/>
      <c r="D239" s="135" t="inlineStr">
        <is>
          <t>海華(3694)</t>
        </is>
      </c>
      <c r="E239" s="136" t="n">
        <v>116</v>
      </c>
      <c r="F239" s="136" t="n">
        <v>4</v>
      </c>
      <c r="G239" s="136" t="n">
        <v>770</v>
      </c>
      <c r="H239" s="136" t="n">
        <v>26</v>
      </c>
      <c r="I239" s="136" t="n">
        <v>744</v>
      </c>
      <c r="J239" s="137" t="n">
        <v>66.39</v>
      </c>
      <c r="K239" s="137" t="n">
        <v>64.75</v>
      </c>
      <c r="L239" s="219">
        <f>F239*(K239-J239)</f>
        <v/>
      </c>
    </row>
    <row r="240" ht="16.5" customHeight="1">
      <c r="A240" s="138" t="n"/>
      <c r="B240" s="138" t="n"/>
      <c r="C240" s="138" t="n"/>
      <c r="D240" s="135" t="inlineStr">
        <is>
          <t>日月光投控(3711)</t>
        </is>
      </c>
      <c r="E240" s="136" t="n">
        <v>10</v>
      </c>
      <c r="F240" s="136" t="n">
        <v>7</v>
      </c>
      <c r="G240" s="136" t="n">
        <v>683</v>
      </c>
      <c r="H240" s="136" t="n">
        <v>511</v>
      </c>
      <c r="I240" s="136" t="n">
        <v>172</v>
      </c>
      <c r="J240" s="137" t="n">
        <v>683</v>
      </c>
      <c r="K240" s="137" t="n">
        <v>730.5700000000001</v>
      </c>
      <c r="L240" s="220">
        <f>F240*(K240-J240)</f>
        <v/>
      </c>
    </row>
    <row r="241" ht="16.5" customHeight="1">
      <c r="A241" s="138" t="n"/>
      <c r="B241" s="138" t="n"/>
      <c r="C241" s="138" t="n"/>
      <c r="D241" s="135" t="inlineStr">
        <is>
          <t>臻鼎-KY(4958)</t>
        </is>
      </c>
      <c r="E241" s="136" t="n">
        <v>11</v>
      </c>
      <c r="F241" s="136" t="n">
        <v>6</v>
      </c>
      <c r="G241" s="136" t="n">
        <v>640</v>
      </c>
      <c r="H241" s="136" t="n">
        <v>369</v>
      </c>
      <c r="I241" s="136" t="n">
        <v>271</v>
      </c>
      <c r="J241" s="137" t="n">
        <v>581.73</v>
      </c>
      <c r="K241" s="137" t="n">
        <v>614.67</v>
      </c>
      <c r="L241" s="220">
        <f>F241*(K241-J241)</f>
        <v/>
      </c>
    </row>
    <row r="242" ht="16.5" customHeight="1">
      <c r="A242" s="138" t="n"/>
      <c r="B242" s="138" t="n"/>
      <c r="C242" s="138" t="n"/>
      <c r="D242" s="135" t="inlineStr">
        <is>
          <t>智邦(2345)</t>
        </is>
      </c>
      <c r="E242" s="136" t="n">
        <v>2</v>
      </c>
      <c r="F242" s="136" t="n">
        <v>1</v>
      </c>
      <c r="G242" s="136" t="n">
        <v>528</v>
      </c>
      <c r="H242" s="136" t="n">
        <v>270</v>
      </c>
      <c r="I242" s="136" t="n">
        <v>258</v>
      </c>
      <c r="J242" s="137" t="n">
        <v>2641</v>
      </c>
      <c r="K242" s="137" t="n">
        <v>2703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聯發科(2454)</t>
        </is>
      </c>
      <c r="E244" s="143" t="n">
        <v>27</v>
      </c>
      <c r="F244" s="143" t="n">
        <v>9</v>
      </c>
      <c r="G244" s="143" t="n">
        <v>11847</v>
      </c>
      <c r="H244" s="143" t="n">
        <v>3996</v>
      </c>
      <c r="I244" s="143" t="n">
        <v>7851</v>
      </c>
      <c r="J244" s="144" t="n">
        <v>4387.89</v>
      </c>
      <c r="K244" s="144" t="n">
        <v>4440.44</v>
      </c>
      <c r="L244" s="220">
        <f>F244*(K244-J244)</f>
        <v/>
      </c>
    </row>
    <row r="245" ht="16.5" customHeight="1">
      <c r="A245" s="145" t="n"/>
      <c r="B245" s="145" t="n"/>
      <c r="C245" s="145" t="n"/>
      <c r="D245" s="142" t="inlineStr">
        <is>
          <t>國泰金(2882)</t>
        </is>
      </c>
      <c r="E245" s="143" t="n">
        <v>787</v>
      </c>
      <c r="F245" s="143" t="n">
        <v>752</v>
      </c>
      <c r="G245" s="143" t="n">
        <v>7449</v>
      </c>
      <c r="H245" s="143" t="n">
        <v>7129</v>
      </c>
      <c r="I245" s="143" t="n">
        <v>320</v>
      </c>
      <c r="J245" s="144" t="n">
        <v>94.65000000000001</v>
      </c>
      <c r="K245" s="144" t="n">
        <v>94.8</v>
      </c>
      <c r="L245" s="220">
        <f>F245*(K245-J245)</f>
        <v/>
      </c>
    </row>
    <row r="246" ht="16.5" customHeight="1">
      <c r="A246" s="145" t="n"/>
      <c r="B246" s="145" t="n"/>
      <c r="C246" s="145" t="n"/>
      <c r="D246" s="142" t="inlineStr">
        <is>
          <t>華邦電(2344)</t>
        </is>
      </c>
      <c r="E246" s="143" t="n">
        <v>228</v>
      </c>
      <c r="F246" s="143" t="n">
        <v>61</v>
      </c>
      <c r="G246" s="143" t="n">
        <v>4407</v>
      </c>
      <c r="H246" s="143" t="n">
        <v>1182</v>
      </c>
      <c r="I246" s="143" t="n">
        <v>3225</v>
      </c>
      <c r="J246" s="144" t="n">
        <v>193.3</v>
      </c>
      <c r="K246" s="144" t="n">
        <v>193.82</v>
      </c>
      <c r="L246" s="220">
        <f>F246*(K246-J246)</f>
        <v/>
      </c>
    </row>
    <row r="247" ht="16.5" customHeight="1">
      <c r="A247" s="145" t="n"/>
      <c r="B247" s="145" t="n"/>
      <c r="C247" s="145" t="n"/>
      <c r="D247" s="142" t="inlineStr">
        <is>
          <t>鴻海(2317)</t>
        </is>
      </c>
      <c r="E247" s="143" t="n">
        <v>94</v>
      </c>
      <c r="F247" s="143" t="n">
        <v>67</v>
      </c>
      <c r="G247" s="143" t="n">
        <v>2364</v>
      </c>
      <c r="H247" s="143" t="n">
        <v>1679</v>
      </c>
      <c r="I247" s="143" t="n">
        <v>685</v>
      </c>
      <c r="J247" s="144" t="n">
        <v>251.44</v>
      </c>
      <c r="K247" s="144" t="n">
        <v>250.57</v>
      </c>
      <c r="L247" s="219">
        <f>F247*(K247-J247)</f>
        <v/>
      </c>
    </row>
    <row r="248" ht="16.5" customHeight="1">
      <c r="A248" s="145" t="n"/>
      <c r="B248" s="145" t="n"/>
      <c r="C248" s="145" t="n"/>
      <c r="D248" s="142" t="inlineStr">
        <is>
          <t>力積電(6770)</t>
        </is>
      </c>
      <c r="E248" s="143" t="n">
        <v>180</v>
      </c>
      <c r="F248" s="143" t="n">
        <v>123</v>
      </c>
      <c r="G248" s="143" t="n">
        <v>1367</v>
      </c>
      <c r="H248" s="143" t="n">
        <v>926</v>
      </c>
      <c r="I248" s="143" t="n">
        <v>441</v>
      </c>
      <c r="J248" s="144" t="n">
        <v>75.95999999999999</v>
      </c>
      <c r="K248" s="144" t="n">
        <v>75.33</v>
      </c>
      <c r="L248" s="219">
        <f>F248*(K248-J248)</f>
        <v/>
      </c>
    </row>
    <row r="249" ht="16.5" customHeight="1">
      <c r="A249" s="145" t="n"/>
      <c r="B249" s="145" t="n"/>
      <c r="C249" s="145" t="n"/>
      <c r="D249" s="142" t="inlineStr">
        <is>
          <t>臻鼎-KY(4958)</t>
        </is>
      </c>
      <c r="E249" s="143" t="n">
        <v>18</v>
      </c>
      <c r="F249" s="143" t="n">
        <v>12</v>
      </c>
      <c r="G249" s="143" t="n">
        <v>1083</v>
      </c>
      <c r="H249" s="143" t="n">
        <v>705</v>
      </c>
      <c r="I249" s="143" t="n">
        <v>378</v>
      </c>
      <c r="J249" s="144" t="n">
        <v>601.83</v>
      </c>
      <c r="K249" s="144" t="n">
        <v>587.33</v>
      </c>
      <c r="L249" s="219">
        <f>F249*(K249-J249)</f>
        <v/>
      </c>
    </row>
    <row r="250" ht="16.5" customHeight="1">
      <c r="A250" s="145" t="n"/>
      <c r="B250" s="145" t="n"/>
      <c r="C250" s="145" t="n"/>
      <c r="D250" s="142" t="inlineStr">
        <is>
          <t>頎邦(6147)</t>
        </is>
      </c>
      <c r="E250" s="143" t="n">
        <v>45</v>
      </c>
      <c r="F250" s="143" t="n">
        <v>26</v>
      </c>
      <c r="G250" s="143" t="n">
        <v>1021</v>
      </c>
      <c r="H250" s="143" t="n">
        <v>589</v>
      </c>
      <c r="I250" s="143" t="n">
        <v>432</v>
      </c>
      <c r="J250" s="144" t="n">
        <v>226.89</v>
      </c>
      <c r="K250" s="144" t="n">
        <v>226.65</v>
      </c>
      <c r="L250" s="219">
        <f>F250*(K250-J250)</f>
        <v/>
      </c>
    </row>
    <row r="251" ht="16.5" customHeight="1">
      <c r="A251" s="145" t="n"/>
      <c r="B251" s="145" t="n"/>
      <c r="C251" s="145" t="n"/>
      <c r="D251" s="142" t="inlineStr">
        <is>
          <t>旺宏(2337)</t>
        </is>
      </c>
      <c r="E251" s="143" t="n">
        <v>67</v>
      </c>
      <c r="F251" s="143" t="n">
        <v>30</v>
      </c>
      <c r="G251" s="143" t="n">
        <v>986</v>
      </c>
      <c r="H251" s="143" t="n">
        <v>447</v>
      </c>
      <c r="I251" s="143" t="n">
        <v>539</v>
      </c>
      <c r="J251" s="144" t="n">
        <v>147.22</v>
      </c>
      <c r="K251" s="144" t="n">
        <v>148.97</v>
      </c>
      <c r="L251" s="220">
        <f>F251*(K251-J251)</f>
        <v/>
      </c>
    </row>
    <row r="252" ht="16.5" customHeight="1">
      <c r="A252" s="145" t="n"/>
      <c r="B252" s="145" t="n"/>
      <c r="C252" s="145" t="n"/>
      <c r="D252" s="142" t="inlineStr">
        <is>
          <t>台達電(2308)</t>
        </is>
      </c>
      <c r="E252" s="143" t="n">
        <v>4</v>
      </c>
      <c r="F252" s="143" t="n">
        <v>2</v>
      </c>
      <c r="G252" s="143" t="n">
        <v>873</v>
      </c>
      <c r="H252" s="143" t="n">
        <v>325</v>
      </c>
      <c r="I252" s="143" t="n">
        <v>548</v>
      </c>
      <c r="J252" s="144" t="n">
        <v>2181.5</v>
      </c>
      <c r="K252" s="144" t="n">
        <v>1627</v>
      </c>
      <c r="L252" s="219">
        <f>F252*(K252-J252)</f>
        <v/>
      </c>
    </row>
    <row r="253" ht="16.5" customHeight="1">
      <c r="A253" s="145" t="n"/>
      <c r="B253" s="145" t="n"/>
      <c r="C253" s="145" t="n"/>
      <c r="D253" s="142" t="inlineStr">
        <is>
          <t>義隆(2458)</t>
        </is>
      </c>
      <c r="E253" s="143" t="n">
        <v>44</v>
      </c>
      <c r="F253" s="143" t="n">
        <v>16</v>
      </c>
      <c r="G253" s="143" t="n">
        <v>841</v>
      </c>
      <c r="H253" s="143" t="n">
        <v>292</v>
      </c>
      <c r="I253" s="143" t="n">
        <v>549</v>
      </c>
      <c r="J253" s="144" t="n">
        <v>191.09</v>
      </c>
      <c r="K253" s="144" t="n">
        <v>182.5</v>
      </c>
      <c r="L253" s="219">
        <f>F253*(K253-J253)</f>
        <v/>
      </c>
    </row>
    <row r="254" ht="16.5" customHeight="1">
      <c r="A254" s="146" t="n"/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A255" s="145" t="n"/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1306</v>
      </c>
      <c r="F255" s="143" t="n">
        <v>284</v>
      </c>
      <c r="G255" s="143" t="n">
        <v>326166</v>
      </c>
      <c r="H255" s="143" t="n">
        <v>70800</v>
      </c>
      <c r="I255" s="143" t="n">
        <v>255366</v>
      </c>
      <c r="J255" s="144" t="n">
        <v>2497.44</v>
      </c>
      <c r="K255" s="144" t="n">
        <v>2492.97</v>
      </c>
      <c r="L255" s="219">
        <f>F255*(K255-J255)</f>
        <v/>
      </c>
    </row>
    <row r="256" ht="16.5" customHeight="1">
      <c r="A256" s="145" t="n"/>
      <c r="B256" s="145" t="n"/>
      <c r="C256" s="145" t="n"/>
      <c r="D256" s="142" t="inlineStr">
        <is>
          <t>合晶(6182)</t>
        </is>
      </c>
      <c r="E256" s="143" t="n">
        <v>8591</v>
      </c>
      <c r="F256" s="143" t="n">
        <v>3</v>
      </c>
      <c r="G256" s="143" t="n">
        <v>115978</v>
      </c>
      <c r="H256" s="143" t="n">
        <v>40</v>
      </c>
      <c r="I256" s="143" t="n">
        <v>115938</v>
      </c>
      <c r="J256" s="144" t="n">
        <v>135</v>
      </c>
      <c r="K256" s="144" t="n">
        <v>135</v>
      </c>
      <c r="L256" s="220">
        <f>F256*(K256-J256)</f>
        <v/>
      </c>
    </row>
    <row r="257" ht="16.5" customHeight="1">
      <c r="A257" s="145" t="n"/>
      <c r="B257" s="145" t="n"/>
      <c r="C257" s="145" t="n"/>
      <c r="D257" s="142" t="inlineStr">
        <is>
          <t>聯電(2303)</t>
        </is>
      </c>
      <c r="E257" s="143" t="n">
        <v>5945</v>
      </c>
      <c r="F257" s="143" t="n">
        <v>766</v>
      </c>
      <c r="G257" s="143" t="n">
        <v>101022</v>
      </c>
      <c r="H257" s="143" t="n">
        <v>12891</v>
      </c>
      <c r="I257" s="143" t="n">
        <v>88131</v>
      </c>
      <c r="J257" s="144" t="n">
        <v>169.93</v>
      </c>
      <c r="K257" s="144" t="n">
        <v>168.29</v>
      </c>
      <c r="L257" s="219">
        <f>F257*(K257-J257)</f>
        <v/>
      </c>
    </row>
    <row r="258" ht="16.5" customHeight="1">
      <c r="A258" s="145" t="n"/>
      <c r="B258" s="145" t="n"/>
      <c r="C258" s="145" t="n"/>
      <c r="D258" s="142" t="inlineStr">
        <is>
          <t>瑞昱(2379)</t>
        </is>
      </c>
      <c r="E258" s="143" t="n">
        <v>846</v>
      </c>
      <c r="F258" s="143" t="n">
        <v>41</v>
      </c>
      <c r="G258" s="143" t="n">
        <v>69712</v>
      </c>
      <c r="H258" s="143" t="n">
        <v>3442</v>
      </c>
      <c r="I258" s="143" t="n">
        <v>66270</v>
      </c>
      <c r="J258" s="144" t="n">
        <v>824.02</v>
      </c>
      <c r="K258" s="144" t="n">
        <v>839.63</v>
      </c>
      <c r="L258" s="220">
        <f>F258*(K258-J258)</f>
        <v/>
      </c>
    </row>
    <row r="259" ht="16.5" customHeight="1">
      <c r="A259" s="145" t="n"/>
      <c r="B259" s="145" t="n"/>
      <c r="C259" s="145" t="n"/>
      <c r="D259" s="142" t="inlineStr">
        <is>
          <t>旭隼(6409)</t>
        </is>
      </c>
      <c r="E259" s="143" t="n">
        <v>472</v>
      </c>
      <c r="F259" s="143" t="n">
        <v>1</v>
      </c>
      <c r="G259" s="143" t="n">
        <v>55092</v>
      </c>
      <c r="H259" s="143" t="n">
        <v>112</v>
      </c>
      <c r="I259" s="143" t="n">
        <v>54980</v>
      </c>
      <c r="J259" s="144" t="n">
        <v>1167.2</v>
      </c>
      <c r="K259" s="144" t="n">
        <v>1115</v>
      </c>
      <c r="L259" s="219">
        <f>F259*(K259-J259)</f>
        <v/>
      </c>
    </row>
    <row r="260" ht="16.5" customHeight="1">
      <c r="A260" s="145" t="n"/>
      <c r="B260" s="145" t="n"/>
      <c r="C260" s="145" t="n"/>
      <c r="D260" s="142" t="inlineStr">
        <is>
          <t>英業達(2356)</t>
        </is>
      </c>
      <c r="E260" s="143" t="n">
        <v>4818</v>
      </c>
      <c r="F260" s="143" t="n">
        <v>2</v>
      </c>
      <c r="G260" s="143" t="n">
        <v>32574</v>
      </c>
      <c r="H260" s="143" t="n">
        <v>14</v>
      </c>
      <c r="I260" s="143" t="n">
        <v>32560</v>
      </c>
      <c r="J260" s="144" t="n">
        <v>67.61</v>
      </c>
      <c r="K260" s="144" t="n">
        <v>68.5</v>
      </c>
      <c r="L260" s="220">
        <f>F260*(K260-J260)</f>
        <v/>
      </c>
    </row>
    <row r="261" ht="16.5" customHeight="1">
      <c r="A261" s="145" t="n"/>
      <c r="B261" s="145" t="n"/>
      <c r="C261" s="145" t="n"/>
      <c r="D261" s="142" t="inlineStr">
        <is>
          <t>元大金(2885)</t>
        </is>
      </c>
      <c r="E261" s="143" t="n">
        <v>4374</v>
      </c>
      <c r="F261" s="143" t="n">
        <v>0</v>
      </c>
      <c r="G261" s="143" t="n">
        <v>28826</v>
      </c>
      <c r="H261" s="143" t="n">
        <v>0</v>
      </c>
      <c r="I261" s="143" t="n">
        <v>28826</v>
      </c>
      <c r="J261" s="144" t="n">
        <v>65.90000000000001</v>
      </c>
      <c r="K261" s="144" t="n">
        <v>0</v>
      </c>
      <c r="L261" s="220">
        <f>F261*(K261-J261)</f>
        <v/>
      </c>
    </row>
    <row r="262" ht="16.5" customHeight="1">
      <c r="A262" s="145" t="n"/>
      <c r="B262" s="145" t="n"/>
      <c r="C262" s="145" t="n"/>
      <c r="D262" s="142" t="inlineStr">
        <is>
          <t>台達電(2308)</t>
        </is>
      </c>
      <c r="E262" s="143" t="n">
        <v>119</v>
      </c>
      <c r="F262" s="143" t="n">
        <v>15</v>
      </c>
      <c r="G262" s="143" t="n">
        <v>23757</v>
      </c>
      <c r="H262" s="143" t="n">
        <v>3016</v>
      </c>
      <c r="I262" s="143" t="n">
        <v>20741</v>
      </c>
      <c r="J262" s="144" t="n">
        <v>1996.39</v>
      </c>
      <c r="K262" s="144" t="n">
        <v>2010.4</v>
      </c>
      <c r="L262" s="220">
        <f>F262*(K262-J262)</f>
        <v/>
      </c>
    </row>
    <row r="263" ht="16.5" customHeight="1">
      <c r="A263" s="145" t="n"/>
      <c r="B263" s="145" t="n"/>
      <c r="C263" s="145" t="n"/>
      <c r="D263" s="142" t="inlineStr">
        <is>
          <t>川湖(2059)</t>
        </is>
      </c>
      <c r="E263" s="143" t="n">
        <v>27</v>
      </c>
      <c r="F263" s="143" t="n">
        <v>0</v>
      </c>
      <c r="G263" s="143" t="n">
        <v>20799</v>
      </c>
      <c r="H263" s="143" t="n">
        <v>0</v>
      </c>
      <c r="I263" s="143" t="n">
        <v>20799</v>
      </c>
      <c r="J263" s="144" t="n">
        <v>7703.33</v>
      </c>
      <c r="K263" s="144" t="n">
        <v>0</v>
      </c>
      <c r="L263" s="220">
        <f>F263*(K263-J263)</f>
        <v/>
      </c>
    </row>
    <row r="264" ht="16.5" customHeight="1">
      <c r="A264" s="145" t="n"/>
      <c r="B264" s="145" t="n"/>
      <c r="C264" s="145" t="n"/>
      <c r="D264" s="142" t="inlineStr">
        <is>
          <t>創意(3443)</t>
        </is>
      </c>
      <c r="E264" s="143" t="n">
        <v>39</v>
      </c>
      <c r="F264" s="143" t="n">
        <v>5</v>
      </c>
      <c r="G264" s="143" t="n">
        <v>19574</v>
      </c>
      <c r="H264" s="143" t="n">
        <v>2504</v>
      </c>
      <c r="I264" s="143" t="n">
        <v>17070</v>
      </c>
      <c r="J264" s="144" t="n">
        <v>5018.87</v>
      </c>
      <c r="K264" s="144" t="n">
        <v>5009</v>
      </c>
      <c r="L264" s="219">
        <f>F264*(K264-J264)</f>
        <v/>
      </c>
    </row>
    <row r="265" ht="16.5" customHeight="1">
      <c r="A265" s="146" t="n"/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A266" s="145" t="n"/>
      <c r="B266" s="141" t="inlineStr">
        <is>
          <t>富邦證券</t>
        </is>
      </c>
      <c r="C266" s="141" t="inlineStr">
        <is>
          <t>9600</t>
        </is>
      </c>
      <c r="D266" s="142" t="inlineStr">
        <is>
          <t>聯電(2303)</t>
        </is>
      </c>
      <c r="E266" s="143" t="n">
        <v>20514</v>
      </c>
      <c r="F266" s="143" t="n">
        <v>18121</v>
      </c>
      <c r="G266" s="143" t="n">
        <v>348449</v>
      </c>
      <c r="H266" s="143" t="n">
        <v>306954</v>
      </c>
      <c r="I266" s="143" t="n">
        <v>41495</v>
      </c>
      <c r="J266" s="144" t="n">
        <v>169.86</v>
      </c>
      <c r="K266" s="144" t="n">
        <v>169.39</v>
      </c>
      <c r="L266" s="219">
        <f>F266*(K266-J266)</f>
        <v/>
      </c>
    </row>
    <row r="267" ht="16.5" customHeight="1">
      <c r="A267" s="145" t="n"/>
      <c r="B267" s="145" t="n"/>
      <c r="C267" s="145" t="n"/>
      <c r="D267" s="142" t="inlineStr">
        <is>
          <t>瑞昱(2379)</t>
        </is>
      </c>
      <c r="E267" s="143" t="n">
        <v>2474</v>
      </c>
      <c r="F267" s="143" t="n">
        <v>148</v>
      </c>
      <c r="G267" s="143" t="n">
        <v>207059</v>
      </c>
      <c r="H267" s="143" t="n">
        <v>11980</v>
      </c>
      <c r="I267" s="143" t="n">
        <v>195079</v>
      </c>
      <c r="J267" s="144" t="n">
        <v>836.9400000000001</v>
      </c>
      <c r="K267" s="144" t="n">
        <v>809.45</v>
      </c>
      <c r="L267" s="219">
        <f>F267*(K267-J267)</f>
        <v/>
      </c>
    </row>
    <row r="268" ht="16.5" customHeight="1">
      <c r="A268" s="145" t="n"/>
      <c r="B268" s="145" t="n"/>
      <c r="C268" s="145" t="n"/>
      <c r="D268" s="142" t="inlineStr">
        <is>
          <t>富鼎(8261)</t>
        </is>
      </c>
      <c r="E268" s="143" t="n">
        <v>3073</v>
      </c>
      <c r="F268" s="143" t="n">
        <v>2064</v>
      </c>
      <c r="G268" s="143" t="n">
        <v>91418</v>
      </c>
      <c r="H268" s="143" t="n">
        <v>61392</v>
      </c>
      <c r="I268" s="143" t="n">
        <v>30026</v>
      </c>
      <c r="J268" s="144" t="n">
        <v>297.49</v>
      </c>
      <c r="K268" s="144" t="n">
        <v>297.44</v>
      </c>
      <c r="L268" s="219">
        <f>F268*(K268-J268)</f>
        <v/>
      </c>
    </row>
    <row r="269" ht="16.5" customHeight="1">
      <c r="A269" s="145" t="n"/>
      <c r="B269" s="145" t="n"/>
      <c r="C269" s="145" t="n"/>
      <c r="D269" s="142" t="inlineStr">
        <is>
          <t>南茂(8150)</t>
        </is>
      </c>
      <c r="E269" s="143" t="n">
        <v>7639</v>
      </c>
      <c r="F269" s="143" t="n">
        <v>1897</v>
      </c>
      <c r="G269" s="143" t="n">
        <v>82378</v>
      </c>
      <c r="H269" s="143" t="n">
        <v>20315</v>
      </c>
      <c r="I269" s="143" t="n">
        <v>62063</v>
      </c>
      <c r="J269" s="144" t="n">
        <v>107.84</v>
      </c>
      <c r="K269" s="144" t="n">
        <v>107.09</v>
      </c>
      <c r="L269" s="219">
        <f>F269*(K269-J269)</f>
        <v/>
      </c>
    </row>
    <row r="270" ht="16.5" customHeight="1">
      <c r="A270" s="145" t="n"/>
      <c r="B270" s="145" t="n"/>
      <c r="C270" s="145" t="n"/>
      <c r="D270" s="142" t="inlineStr">
        <is>
          <t>環球晶(6488)</t>
        </is>
      </c>
      <c r="E270" s="143" t="n">
        <v>727</v>
      </c>
      <c r="F270" s="143" t="n">
        <v>251</v>
      </c>
      <c r="G270" s="143" t="n">
        <v>80334</v>
      </c>
      <c r="H270" s="143" t="n">
        <v>27723</v>
      </c>
      <c r="I270" s="143" t="n">
        <v>52611</v>
      </c>
      <c r="J270" s="144" t="n">
        <v>1105</v>
      </c>
      <c r="K270" s="144" t="n">
        <v>1104.51</v>
      </c>
      <c r="L270" s="219">
        <f>F270*(K270-J270)</f>
        <v/>
      </c>
    </row>
    <row r="271" ht="16.5" customHeight="1">
      <c r="A271" s="145" t="n"/>
      <c r="B271" s="145" t="n"/>
      <c r="C271" s="145" t="n"/>
      <c r="D271" s="142" t="inlineStr">
        <is>
          <t>日月光投控(3711)</t>
        </is>
      </c>
      <c r="E271" s="143" t="n">
        <v>1043</v>
      </c>
      <c r="F271" s="143" t="n">
        <v>166</v>
      </c>
      <c r="G271" s="143" t="n">
        <v>73355</v>
      </c>
      <c r="H271" s="143" t="n">
        <v>11658</v>
      </c>
      <c r="I271" s="143" t="n">
        <v>61697</v>
      </c>
      <c r="J271" s="144" t="n">
        <v>703.3099999999999</v>
      </c>
      <c r="K271" s="144" t="n">
        <v>702.3</v>
      </c>
      <c r="L271" s="219">
        <f>F271*(K271-J271)</f>
        <v/>
      </c>
    </row>
    <row r="272" ht="16.5" customHeight="1">
      <c r="A272" s="145" t="n"/>
      <c r="B272" s="145" t="n"/>
      <c r="C272" s="145" t="n"/>
      <c r="D272" s="142" t="inlineStr">
        <is>
          <t>盟立(2464)</t>
        </is>
      </c>
      <c r="E272" s="143" t="n">
        <v>3832</v>
      </c>
      <c r="F272" s="143" t="n">
        <v>967</v>
      </c>
      <c r="G272" s="143" t="n">
        <v>72702</v>
      </c>
      <c r="H272" s="143" t="n">
        <v>18240</v>
      </c>
      <c r="I272" s="143" t="n">
        <v>54462</v>
      </c>
      <c r="J272" s="144" t="n">
        <v>189.72</v>
      </c>
      <c r="K272" s="144" t="n">
        <v>188.62</v>
      </c>
      <c r="L272" s="219">
        <f>F272*(K272-J272)</f>
        <v/>
      </c>
    </row>
    <row r="273" ht="16.5" customHeight="1">
      <c r="A273" s="145" t="n"/>
      <c r="B273" s="145" t="n"/>
      <c r="C273" s="145" t="n"/>
      <c r="D273" s="142" t="inlineStr">
        <is>
          <t>大立光(3008)</t>
        </is>
      </c>
      <c r="E273" s="143" t="n">
        <v>165</v>
      </c>
      <c r="F273" s="143" t="n">
        <v>42</v>
      </c>
      <c r="G273" s="143" t="n">
        <v>71562</v>
      </c>
      <c r="H273" s="143" t="n">
        <v>17987</v>
      </c>
      <c r="I273" s="143" t="n">
        <v>53575</v>
      </c>
      <c r="J273" s="144" t="n">
        <v>4337.09</v>
      </c>
      <c r="K273" s="144" t="n">
        <v>4282.57</v>
      </c>
      <c r="L273" s="219">
        <f>F273*(K273-J273)</f>
        <v/>
      </c>
    </row>
    <row r="274" ht="16.5" customHeight="1">
      <c r="A274" s="145" t="n"/>
      <c r="B274" s="145" t="n"/>
      <c r="C274" s="145" t="n"/>
      <c r="D274" s="142" t="inlineStr">
        <is>
          <t>長榮航(2618)</t>
        </is>
      </c>
      <c r="E274" s="143" t="n">
        <v>14328</v>
      </c>
      <c r="F274" s="143" t="n">
        <v>134</v>
      </c>
      <c r="G274" s="143" t="n">
        <v>62924</v>
      </c>
      <c r="H274" s="143" t="n">
        <v>587</v>
      </c>
      <c r="I274" s="143" t="n">
        <v>62337</v>
      </c>
      <c r="J274" s="144" t="n">
        <v>43.92</v>
      </c>
      <c r="K274" s="144" t="n">
        <v>43.78</v>
      </c>
      <c r="L274" s="219">
        <f>F274*(K274-J274)</f>
        <v/>
      </c>
    </row>
    <row r="275" ht="16.5" customHeight="1">
      <c r="A275" s="145" t="n"/>
      <c r="B275" s="145" t="n"/>
      <c r="C275" s="145" t="n"/>
      <c r="D275" s="142" t="inlineStr">
        <is>
          <t>凱美(2375)</t>
        </is>
      </c>
      <c r="E275" s="143" t="n">
        <v>2634</v>
      </c>
      <c r="F275" s="143" t="n">
        <v>1521</v>
      </c>
      <c r="G275" s="143" t="n">
        <v>61245</v>
      </c>
      <c r="H275" s="143" t="n">
        <v>35353</v>
      </c>
      <c r="I275" s="143" t="n">
        <v>25892</v>
      </c>
      <c r="J275" s="144" t="n">
        <v>232.52</v>
      </c>
      <c r="K275" s="144" t="n">
        <v>232.44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華邦電(2344)</t>
        </is>
      </c>
      <c r="E277" s="150" t="n">
        <v>1218</v>
      </c>
      <c r="F277" s="150" t="n">
        <v>762</v>
      </c>
      <c r="G277" s="150" t="n">
        <v>23693</v>
      </c>
      <c r="H277" s="150" t="n">
        <v>14655</v>
      </c>
      <c r="I277" s="150" t="n">
        <v>9038</v>
      </c>
      <c r="J277" s="151" t="n">
        <v>194.53</v>
      </c>
      <c r="K277" s="151" t="n">
        <v>192.32</v>
      </c>
      <c r="L277" s="219">
        <f>F277*(K277-J277)</f>
        <v/>
      </c>
    </row>
    <row r="278" ht="16.5" customHeight="1">
      <c r="A278" s="152" t="n"/>
      <c r="B278" s="152" t="n"/>
      <c r="C278" s="152" t="n"/>
      <c r="D278" s="149" t="inlineStr">
        <is>
          <t>國巨*(2327)</t>
        </is>
      </c>
      <c r="E278" s="150" t="n">
        <v>142</v>
      </c>
      <c r="F278" s="150" t="n">
        <v>103</v>
      </c>
      <c r="G278" s="150" t="n">
        <v>16210</v>
      </c>
      <c r="H278" s="150" t="n">
        <v>11768</v>
      </c>
      <c r="I278" s="150" t="n">
        <v>4442</v>
      </c>
      <c r="J278" s="151" t="n">
        <v>1141.51</v>
      </c>
      <c r="K278" s="151" t="n">
        <v>1142.5</v>
      </c>
      <c r="L278" s="220">
        <f>F278*(K278-J278)</f>
        <v/>
      </c>
    </row>
    <row r="279" ht="16.5" customHeight="1">
      <c r="A279" s="152" t="n"/>
      <c r="B279" s="152" t="n"/>
      <c r="C279" s="152" t="n"/>
      <c r="D279" s="149" t="inlineStr">
        <is>
          <t>南亞科(2408)</t>
        </is>
      </c>
      <c r="E279" s="150" t="n">
        <v>288</v>
      </c>
      <c r="F279" s="150" t="n">
        <v>175</v>
      </c>
      <c r="G279" s="150" t="n">
        <v>12483</v>
      </c>
      <c r="H279" s="150" t="n">
        <v>7421</v>
      </c>
      <c r="I279" s="150" t="n">
        <v>5062</v>
      </c>
      <c r="J279" s="151" t="n">
        <v>433.43</v>
      </c>
      <c r="K279" s="151" t="n">
        <v>424.05</v>
      </c>
      <c r="L279" s="219">
        <f>F279*(K279-J279)</f>
        <v/>
      </c>
    </row>
    <row r="280" ht="16.5" customHeight="1">
      <c r="A280" s="152" t="n"/>
      <c r="B280" s="152" t="n"/>
      <c r="C280" s="152" t="n"/>
      <c r="D280" s="149" t="inlineStr">
        <is>
          <t>景碩(3189)</t>
        </is>
      </c>
      <c r="E280" s="150" t="n">
        <v>118</v>
      </c>
      <c r="F280" s="150" t="n">
        <v>108</v>
      </c>
      <c r="G280" s="150" t="n">
        <v>10474</v>
      </c>
      <c r="H280" s="150" t="n">
        <v>9625</v>
      </c>
      <c r="I280" s="150" t="n">
        <v>849</v>
      </c>
      <c r="J280" s="151" t="n">
        <v>887.65</v>
      </c>
      <c r="K280" s="151" t="n">
        <v>891.22</v>
      </c>
      <c r="L280" s="220">
        <f>F280*(K280-J280)</f>
        <v/>
      </c>
    </row>
    <row r="281" ht="16.5" customHeight="1">
      <c r="A281" s="152" t="n"/>
      <c r="B281" s="152" t="n"/>
      <c r="C281" s="152" t="n"/>
      <c r="D281" s="149" t="inlineStr">
        <is>
          <t>群光(2385)</t>
        </is>
      </c>
      <c r="E281" s="150" t="n">
        <v>853</v>
      </c>
      <c r="F281" s="150" t="n">
        <v>1</v>
      </c>
      <c r="G281" s="150" t="n">
        <v>9062</v>
      </c>
      <c r="H281" s="150" t="n">
        <v>11</v>
      </c>
      <c r="I281" s="150" t="n">
        <v>9051</v>
      </c>
      <c r="J281" s="151" t="n">
        <v>106.23</v>
      </c>
      <c r="K281" s="151" t="n">
        <v>106</v>
      </c>
      <c r="L281" s="219">
        <f>F281*(K281-J281)</f>
        <v/>
      </c>
    </row>
    <row r="282" ht="16.5" customHeight="1">
      <c r="A282" s="152" t="n"/>
      <c r="B282" s="152" t="n"/>
      <c r="C282" s="152" t="n"/>
      <c r="D282" s="149" t="inlineStr">
        <is>
          <t>聯電(2303)</t>
        </is>
      </c>
      <c r="E282" s="150" t="n">
        <v>349</v>
      </c>
      <c r="F282" s="150" t="n">
        <v>295</v>
      </c>
      <c r="G282" s="150" t="n">
        <v>5903</v>
      </c>
      <c r="H282" s="150" t="n">
        <v>4993</v>
      </c>
      <c r="I282" s="150" t="n">
        <v>910</v>
      </c>
      <c r="J282" s="151" t="n">
        <v>169.15</v>
      </c>
      <c r="K282" s="151" t="n">
        <v>169.24</v>
      </c>
      <c r="L282" s="220">
        <f>F282*(K282-J282)</f>
        <v/>
      </c>
    </row>
    <row r="283" ht="16.5" customHeight="1">
      <c r="A283" s="152" t="n"/>
      <c r="B283" s="152" t="n"/>
      <c r="C283" s="152" t="n"/>
      <c r="D283" s="149" t="inlineStr">
        <is>
          <t>宜鼎(5289)</t>
        </is>
      </c>
      <c r="E283" s="150" t="n">
        <v>37</v>
      </c>
      <c r="F283" s="150" t="n">
        <v>22</v>
      </c>
      <c r="G283" s="150" t="n">
        <v>5759</v>
      </c>
      <c r="H283" s="150" t="n">
        <v>3460</v>
      </c>
      <c r="I283" s="150" t="n">
        <v>2299</v>
      </c>
      <c r="J283" s="151" t="n">
        <v>1556.51</v>
      </c>
      <c r="K283" s="151" t="n">
        <v>1572.59</v>
      </c>
      <c r="L283" s="220">
        <f>F283*(K283-J283)</f>
        <v/>
      </c>
    </row>
    <row r="284" ht="16.5" customHeight="1">
      <c r="A284" s="152" t="n"/>
      <c r="B284" s="152" t="n"/>
      <c r="C284" s="152" t="n"/>
      <c r="D284" s="149" t="inlineStr">
        <is>
          <t>群創(3481)</t>
        </is>
      </c>
      <c r="E284" s="150" t="n">
        <v>816</v>
      </c>
      <c r="F284" s="150" t="n">
        <v>565</v>
      </c>
      <c r="G284" s="150" t="n">
        <v>5751</v>
      </c>
      <c r="H284" s="150" t="n">
        <v>3961</v>
      </c>
      <c r="I284" s="150" t="n">
        <v>1790</v>
      </c>
      <c r="J284" s="151" t="n">
        <v>70.48</v>
      </c>
      <c r="K284" s="151" t="n">
        <v>70.09999999999999</v>
      </c>
      <c r="L284" s="219">
        <f>F284*(K284-J284)</f>
        <v/>
      </c>
    </row>
    <row r="285" ht="16.5" customHeight="1">
      <c r="A285" s="152" t="n"/>
      <c r="B285" s="152" t="n"/>
      <c r="C285" s="152" t="n"/>
      <c r="D285" s="149" t="inlineStr">
        <is>
          <t>雍智科技(6683)</t>
        </is>
      </c>
      <c r="E285" s="150" t="n">
        <v>28</v>
      </c>
      <c r="F285" s="150" t="n">
        <v>2</v>
      </c>
      <c r="G285" s="150" t="n">
        <v>5158</v>
      </c>
      <c r="H285" s="150" t="n">
        <v>383</v>
      </c>
      <c r="I285" s="150" t="n">
        <v>4775</v>
      </c>
      <c r="J285" s="151" t="n">
        <v>1842.18</v>
      </c>
      <c r="K285" s="151" t="n">
        <v>1915.5</v>
      </c>
      <c r="L285" s="220">
        <f>F285*(K285-J285)</f>
        <v/>
      </c>
    </row>
    <row r="286" ht="16.5" customHeight="1">
      <c r="A286" s="152" t="n"/>
      <c r="B286" s="152" t="n"/>
      <c r="C286" s="152" t="n"/>
      <c r="D286" s="149" t="inlineStr">
        <is>
          <t>精材(3374)</t>
        </is>
      </c>
      <c r="E286" s="150" t="n">
        <v>169</v>
      </c>
      <c r="F286" s="150" t="n">
        <v>77</v>
      </c>
      <c r="G286" s="150" t="n">
        <v>5092</v>
      </c>
      <c r="H286" s="150" t="n">
        <v>2339</v>
      </c>
      <c r="I286" s="150" t="n">
        <v>2753</v>
      </c>
      <c r="J286" s="151" t="n">
        <v>301.29</v>
      </c>
      <c r="K286" s="151" t="n">
        <v>303.73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臻鼎-KY(4958)</t>
        </is>
      </c>
      <c r="E288" s="156" t="n">
        <v>255</v>
      </c>
      <c r="F288" s="156" t="n">
        <v>26</v>
      </c>
      <c r="G288" s="156" t="n">
        <v>16115</v>
      </c>
      <c r="H288" s="156" t="n">
        <v>1623</v>
      </c>
      <c r="I288" s="156" t="n">
        <v>14492</v>
      </c>
      <c r="J288" s="157" t="n">
        <v>631.96</v>
      </c>
      <c r="K288" s="157" t="n">
        <v>624.15</v>
      </c>
      <c r="L288" s="219">
        <f>F288*(K288-J288)</f>
        <v/>
      </c>
    </row>
    <row r="289" ht="16.5" customHeight="1">
      <c r="A289" s="158" t="n"/>
      <c r="B289" s="158" t="n"/>
      <c r="C289" s="158" t="n"/>
      <c r="D289" s="155" t="inlineStr">
        <is>
          <t>國巨*(2327)</t>
        </is>
      </c>
      <c r="E289" s="156" t="n">
        <v>63</v>
      </c>
      <c r="F289" s="156" t="n">
        <v>56</v>
      </c>
      <c r="G289" s="156" t="n">
        <v>7203</v>
      </c>
      <c r="H289" s="156" t="n">
        <v>6422</v>
      </c>
      <c r="I289" s="156" t="n">
        <v>781</v>
      </c>
      <c r="J289" s="157" t="n">
        <v>1143.37</v>
      </c>
      <c r="K289" s="157" t="n">
        <v>1146.77</v>
      </c>
      <c r="L289" s="220">
        <f>F289*(K289-J289)</f>
        <v/>
      </c>
    </row>
    <row r="290" ht="16.5" customHeight="1">
      <c r="A290" s="158" t="n"/>
      <c r="B290" s="158" t="n"/>
      <c r="C290" s="158" t="n"/>
      <c r="D290" s="155" t="inlineStr">
        <is>
          <t>元大金(2885)</t>
        </is>
      </c>
      <c r="E290" s="156" t="n">
        <v>1002</v>
      </c>
      <c r="F290" s="156" t="n">
        <v>2</v>
      </c>
      <c r="G290" s="156" t="n">
        <v>6602</v>
      </c>
      <c r="H290" s="156" t="n">
        <v>14</v>
      </c>
      <c r="I290" s="156" t="n">
        <v>6588</v>
      </c>
      <c r="J290" s="157" t="n">
        <v>65.89</v>
      </c>
      <c r="K290" s="157" t="n">
        <v>69</v>
      </c>
      <c r="L290" s="220">
        <f>F290*(K290-J290)</f>
        <v/>
      </c>
    </row>
    <row r="291" ht="16.5" customHeight="1">
      <c r="A291" s="158" t="n"/>
      <c r="B291" s="158" t="n"/>
      <c r="C291" s="158" t="n"/>
      <c r="D291" s="155" t="inlineStr">
        <is>
          <t>台達電(2308)</t>
        </is>
      </c>
      <c r="E291" s="156" t="n">
        <v>31</v>
      </c>
      <c r="F291" s="156" t="n">
        <v>7</v>
      </c>
      <c r="G291" s="156" t="n">
        <v>6128</v>
      </c>
      <c r="H291" s="156" t="n">
        <v>1503</v>
      </c>
      <c r="I291" s="156" t="n">
        <v>4625</v>
      </c>
      <c r="J291" s="157" t="n">
        <v>1976.87</v>
      </c>
      <c r="K291" s="157" t="n">
        <v>2147.14</v>
      </c>
      <c r="L291" s="220">
        <f>F291*(K291-J291)</f>
        <v/>
      </c>
    </row>
    <row r="292" ht="16.5" customHeight="1">
      <c r="A292" s="158" t="n"/>
      <c r="B292" s="158" t="n"/>
      <c r="C292" s="158" t="n"/>
      <c r="D292" s="155" t="inlineStr">
        <is>
          <t>華邦電(2344)</t>
        </is>
      </c>
      <c r="E292" s="156" t="n">
        <v>227</v>
      </c>
      <c r="F292" s="156" t="n">
        <v>43</v>
      </c>
      <c r="G292" s="156" t="n">
        <v>4385</v>
      </c>
      <c r="H292" s="156" t="n">
        <v>823</v>
      </c>
      <c r="I292" s="156" t="n">
        <v>3562</v>
      </c>
      <c r="J292" s="157" t="n">
        <v>193.15</v>
      </c>
      <c r="K292" s="157" t="n">
        <v>191.33</v>
      </c>
      <c r="L292" s="219">
        <f>F292*(K292-J292)</f>
        <v/>
      </c>
    </row>
    <row r="293" ht="16.5" customHeight="1">
      <c r="A293" s="158" t="n"/>
      <c r="B293" s="158" t="n"/>
      <c r="C293" s="158" t="n"/>
      <c r="D293" s="155" t="inlineStr">
        <is>
          <t>南亞(1303)</t>
        </is>
      </c>
      <c r="E293" s="156" t="n">
        <v>145</v>
      </c>
      <c r="F293" s="156" t="n">
        <v>26</v>
      </c>
      <c r="G293" s="156" t="n">
        <v>2645</v>
      </c>
      <c r="H293" s="156" t="n">
        <v>473</v>
      </c>
      <c r="I293" s="156" t="n">
        <v>2172</v>
      </c>
      <c r="J293" s="157" t="n">
        <v>182.41</v>
      </c>
      <c r="K293" s="157" t="n">
        <v>182</v>
      </c>
      <c r="L293" s="219">
        <f>F293*(K293-J293)</f>
        <v/>
      </c>
    </row>
    <row r="294" ht="16.5" customHeight="1">
      <c r="A294" s="158" t="n"/>
      <c r="B294" s="158" t="n"/>
      <c r="C294" s="158" t="n"/>
      <c r="D294" s="155" t="inlineStr">
        <is>
          <t>南亞科(2408)</t>
        </is>
      </c>
      <c r="E294" s="156" t="n">
        <v>36</v>
      </c>
      <c r="F294" s="156" t="n">
        <v>22</v>
      </c>
      <c r="G294" s="156" t="n">
        <v>1529</v>
      </c>
      <c r="H294" s="156" t="n">
        <v>927</v>
      </c>
      <c r="I294" s="156" t="n">
        <v>602</v>
      </c>
      <c r="J294" s="157" t="n">
        <v>424.61</v>
      </c>
      <c r="K294" s="157" t="n">
        <v>421.32</v>
      </c>
      <c r="L294" s="219">
        <f>F294*(K294-J294)</f>
        <v/>
      </c>
    </row>
    <row r="295" ht="16.5" customHeight="1">
      <c r="A295" s="158" t="n"/>
      <c r="B295" s="158" t="n"/>
      <c r="C295" s="158" t="n"/>
      <c r="D295" s="155" t="inlineStr">
        <is>
          <t>旺宏(2337)</t>
        </is>
      </c>
      <c r="E295" s="156" t="n">
        <v>96</v>
      </c>
      <c r="F295" s="156" t="n">
        <v>28</v>
      </c>
      <c r="G295" s="156" t="n">
        <v>1441</v>
      </c>
      <c r="H295" s="156" t="n">
        <v>407</v>
      </c>
      <c r="I295" s="156" t="n">
        <v>1034</v>
      </c>
      <c r="J295" s="157" t="n">
        <v>150.09</v>
      </c>
      <c r="K295" s="157" t="n">
        <v>145.43</v>
      </c>
      <c r="L295" s="219">
        <f>F295*(K295-J295)</f>
        <v/>
      </c>
    </row>
    <row r="296" ht="16.5" customHeight="1">
      <c r="A296" s="158" t="n"/>
      <c r="B296" s="158" t="n"/>
      <c r="C296" s="158" t="n"/>
      <c r="D296" s="155" t="inlineStr">
        <is>
          <t>力積電(6770)</t>
        </is>
      </c>
      <c r="E296" s="156" t="n">
        <v>188</v>
      </c>
      <c r="F296" s="156" t="n">
        <v>108</v>
      </c>
      <c r="G296" s="156" t="n">
        <v>1430</v>
      </c>
      <c r="H296" s="156" t="n">
        <v>811</v>
      </c>
      <c r="I296" s="156" t="n">
        <v>619</v>
      </c>
      <c r="J296" s="157" t="n">
        <v>76.06</v>
      </c>
      <c r="K296" s="157" t="n">
        <v>75.06</v>
      </c>
      <c r="L296" s="219">
        <f>F296*(K296-J296)</f>
        <v/>
      </c>
    </row>
    <row r="297" ht="16.5" customHeight="1">
      <c r="A297" s="158" t="n"/>
      <c r="B297" s="158" t="n"/>
      <c r="C297" s="158" t="n"/>
      <c r="D297" s="155" t="inlineStr">
        <is>
          <t>鴻海(2317)</t>
        </is>
      </c>
      <c r="E297" s="156" t="n">
        <v>55</v>
      </c>
      <c r="F297" s="156" t="n">
        <v>8</v>
      </c>
      <c r="G297" s="156" t="n">
        <v>1387</v>
      </c>
      <c r="H297" s="156" t="n">
        <v>210</v>
      </c>
      <c r="I297" s="156" t="n">
        <v>1177</v>
      </c>
      <c r="J297" s="157" t="n">
        <v>252.15</v>
      </c>
      <c r="K297" s="157" t="n">
        <v>263</v>
      </c>
      <c r="L297" s="220">
        <f>F297*(K297-J297)</f>
        <v/>
      </c>
    </row>
    <row r="298" ht="16.5" customHeight="1">
      <c r="A298" s="159" t="n"/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A299" s="158" t="n"/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群創(3481)</t>
        </is>
      </c>
      <c r="E299" s="156" t="n">
        <v>2921</v>
      </c>
      <c r="F299" s="156" t="n">
        <v>2689</v>
      </c>
      <c r="G299" s="156" t="n">
        <v>20351</v>
      </c>
      <c r="H299" s="156" t="n">
        <v>18611</v>
      </c>
      <c r="I299" s="156" t="n">
        <v>1740</v>
      </c>
      <c r="J299" s="157" t="n">
        <v>69.67</v>
      </c>
      <c r="K299" s="157" t="n">
        <v>69.20999999999999</v>
      </c>
      <c r="L299" s="219">
        <f>F299*(K299-J299)</f>
        <v/>
      </c>
    </row>
    <row r="300" ht="16.5" customHeight="1">
      <c r="A300" s="158" t="n"/>
      <c r="B300" s="158" t="n"/>
      <c r="C300" s="158" t="n"/>
      <c r="D300" s="155" t="inlineStr">
        <is>
          <t>華邦電(2344)</t>
        </is>
      </c>
      <c r="E300" s="156" t="n">
        <v>537</v>
      </c>
      <c r="F300" s="156" t="n">
        <v>500</v>
      </c>
      <c r="G300" s="156" t="n">
        <v>10481</v>
      </c>
      <c r="H300" s="156" t="n">
        <v>9959</v>
      </c>
      <c r="I300" s="156" t="n">
        <v>522</v>
      </c>
      <c r="J300" s="157" t="n">
        <v>195.18</v>
      </c>
      <c r="K300" s="157" t="n">
        <v>199.19</v>
      </c>
      <c r="L300" s="220">
        <f>F300*(K300-J300)</f>
        <v/>
      </c>
    </row>
    <row r="301" ht="16.5" customHeight="1">
      <c r="A301" s="158" t="n"/>
      <c r="B301" s="158" t="n"/>
      <c r="C301" s="158" t="n"/>
      <c r="D301" s="155" t="inlineStr">
        <is>
          <t>南亞科(2408)</t>
        </is>
      </c>
      <c r="E301" s="156" t="n">
        <v>227</v>
      </c>
      <c r="F301" s="156" t="n">
        <v>186</v>
      </c>
      <c r="G301" s="156" t="n">
        <v>9726</v>
      </c>
      <c r="H301" s="156" t="n">
        <v>8174</v>
      </c>
      <c r="I301" s="156" t="n">
        <v>1552</v>
      </c>
      <c r="J301" s="157" t="n">
        <v>428.45</v>
      </c>
      <c r="K301" s="157" t="n">
        <v>439.48</v>
      </c>
      <c r="L301" s="220">
        <f>F301*(K301-J301)</f>
        <v/>
      </c>
    </row>
    <row r="302" ht="16.5" customHeight="1">
      <c r="A302" s="158" t="n"/>
      <c r="B302" s="158" t="n"/>
      <c r="C302" s="158" t="n"/>
      <c r="D302" s="155" t="inlineStr">
        <is>
          <t>聯電(2303)</t>
        </is>
      </c>
      <c r="E302" s="156" t="n">
        <v>271</v>
      </c>
      <c r="F302" s="156" t="n">
        <v>135</v>
      </c>
      <c r="G302" s="156" t="n">
        <v>4647</v>
      </c>
      <c r="H302" s="156" t="n">
        <v>2300</v>
      </c>
      <c r="I302" s="156" t="n">
        <v>2347</v>
      </c>
      <c r="J302" s="157" t="n">
        <v>171.46</v>
      </c>
      <c r="K302" s="157" t="n">
        <v>170.39</v>
      </c>
      <c r="L302" s="219">
        <f>F302*(K302-J302)</f>
        <v/>
      </c>
    </row>
    <row r="303" ht="16.5" customHeight="1">
      <c r="A303" s="158" t="n"/>
      <c r="B303" s="158" t="n"/>
      <c r="C303" s="158" t="n"/>
      <c r="D303" s="155" t="inlineStr">
        <is>
          <t>日月光投控(3711)</t>
        </is>
      </c>
      <c r="E303" s="156" t="n">
        <v>45</v>
      </c>
      <c r="F303" s="156" t="n">
        <v>24</v>
      </c>
      <c r="G303" s="156" t="n">
        <v>3141</v>
      </c>
      <c r="H303" s="156" t="n">
        <v>1692</v>
      </c>
      <c r="I303" s="156" t="n">
        <v>1449</v>
      </c>
      <c r="J303" s="157" t="n">
        <v>697.9299999999999</v>
      </c>
      <c r="K303" s="157" t="n">
        <v>705.04</v>
      </c>
      <c r="L303" s="220">
        <f>F303*(K303-J303)</f>
        <v/>
      </c>
    </row>
    <row r="304" ht="16.5" customHeight="1">
      <c r="A304" s="158" t="n"/>
      <c r="B304" s="158" t="n"/>
      <c r="C304" s="158" t="n"/>
      <c r="D304" s="155" t="inlineStr">
        <is>
          <t>旺宏(2337)</t>
        </is>
      </c>
      <c r="E304" s="156" t="n">
        <v>181</v>
      </c>
      <c r="F304" s="156" t="n">
        <v>94</v>
      </c>
      <c r="G304" s="156" t="n">
        <v>2702</v>
      </c>
      <c r="H304" s="156" t="n">
        <v>1369</v>
      </c>
      <c r="I304" s="156" t="n">
        <v>1333</v>
      </c>
      <c r="J304" s="157" t="n">
        <v>149.28</v>
      </c>
      <c r="K304" s="157" t="n">
        <v>145.61</v>
      </c>
      <c r="L304" s="219">
        <f>F304*(K304-J304)</f>
        <v/>
      </c>
    </row>
    <row r="305" ht="16.5" customHeight="1">
      <c r="A305" s="158" t="n"/>
      <c r="B305" s="158" t="n"/>
      <c r="C305" s="158" t="n"/>
      <c r="D305" s="155" t="inlineStr">
        <is>
          <t>群聯(8299)</t>
        </is>
      </c>
      <c r="E305" s="156" t="n">
        <v>11</v>
      </c>
      <c r="F305" s="156" t="n">
        <v>1</v>
      </c>
      <c r="G305" s="156" t="n">
        <v>2488</v>
      </c>
      <c r="H305" s="156" t="n">
        <v>64</v>
      </c>
      <c r="I305" s="156" t="n">
        <v>2424</v>
      </c>
      <c r="J305" s="157" t="n">
        <v>2261.91</v>
      </c>
      <c r="K305" s="157" t="n">
        <v>636</v>
      </c>
      <c r="L305" s="219">
        <f>F305*(K305-J305)</f>
        <v/>
      </c>
    </row>
    <row r="306" ht="16.5" customHeight="1">
      <c r="A306" s="158" t="n"/>
      <c r="B306" s="158" t="n"/>
      <c r="C306" s="158" t="n"/>
      <c r="D306" s="155" t="inlineStr">
        <is>
          <t>鴻海(2317)</t>
        </is>
      </c>
      <c r="E306" s="156" t="n">
        <v>86</v>
      </c>
      <c r="F306" s="156" t="n">
        <v>61</v>
      </c>
      <c r="G306" s="156" t="n">
        <v>2163</v>
      </c>
      <c r="H306" s="156" t="n">
        <v>1541</v>
      </c>
      <c r="I306" s="156" t="n">
        <v>622</v>
      </c>
      <c r="J306" s="157" t="n">
        <v>251.56</v>
      </c>
      <c r="K306" s="157" t="n">
        <v>252.66</v>
      </c>
      <c r="L306" s="220">
        <f>F306*(K306-J306)</f>
        <v/>
      </c>
    </row>
    <row r="307" ht="16.5" customHeight="1">
      <c r="A307" s="158" t="n"/>
      <c r="B307" s="158" t="n"/>
      <c r="C307" s="158" t="n"/>
      <c r="D307" s="155" t="inlineStr">
        <is>
          <t>友達(2409)</t>
        </is>
      </c>
      <c r="E307" s="156" t="n">
        <v>491</v>
      </c>
      <c r="F307" s="156" t="n">
        <v>406</v>
      </c>
      <c r="G307" s="156" t="n">
        <v>1580</v>
      </c>
      <c r="H307" s="156" t="n">
        <v>1280</v>
      </c>
      <c r="I307" s="156" t="n">
        <v>300</v>
      </c>
      <c r="J307" s="157" t="n">
        <v>32.18</v>
      </c>
      <c r="K307" s="157" t="n">
        <v>31.52</v>
      </c>
      <c r="L307" s="219">
        <f>F307*(K307-J307)</f>
        <v/>
      </c>
    </row>
    <row r="308" ht="16.5" customHeight="1">
      <c r="A308" s="158" t="n"/>
      <c r="B308" s="158" t="n"/>
      <c r="C308" s="158" t="n"/>
      <c r="D308" s="155" t="inlineStr">
        <is>
          <t>鴻勁(7769)</t>
        </is>
      </c>
      <c r="E308" s="156" t="n">
        <v>2</v>
      </c>
      <c r="F308" s="156" t="n">
        <v>1</v>
      </c>
      <c r="G308" s="156" t="n">
        <v>1411</v>
      </c>
      <c r="H308" s="156" t="n">
        <v>19</v>
      </c>
      <c r="I308" s="156" t="n">
        <v>1392</v>
      </c>
      <c r="J308" s="157" t="n">
        <v>7057</v>
      </c>
      <c r="K308" s="157" t="n">
        <v>190</v>
      </c>
      <c r="L308" s="219">
        <f>F308*(K308-J308)</f>
        <v/>
      </c>
    </row>
    <row r="309" ht="16.5" customHeight="1">
      <c r="A309" s="159" t="n"/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A310" s="158" t="n"/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中華電(2412)</t>
        </is>
      </c>
      <c r="E310" s="156" t="n">
        <v>1075</v>
      </c>
      <c r="F310" s="156" t="n">
        <v>0</v>
      </c>
      <c r="G310" s="156" t="n">
        <v>15213</v>
      </c>
      <c r="H310" s="156" t="n">
        <v>0</v>
      </c>
      <c r="I310" s="156" t="n">
        <v>15213</v>
      </c>
      <c r="J310" s="157" t="n">
        <v>141.51</v>
      </c>
      <c r="K310" s="157" t="n">
        <v>0</v>
      </c>
      <c r="L310" s="220">
        <f>F310*(K310-J310)</f>
        <v/>
      </c>
    </row>
    <row r="311" ht="16.5" customHeight="1">
      <c r="A311" s="158" t="n"/>
      <c r="B311" s="158" t="n"/>
      <c r="C311" s="158" t="n"/>
      <c r="D311" s="155" t="inlineStr">
        <is>
          <t>聯發科(2454)</t>
        </is>
      </c>
      <c r="E311" s="156" t="n">
        <v>22</v>
      </c>
      <c r="F311" s="156" t="n">
        <v>10</v>
      </c>
      <c r="G311" s="156" t="n">
        <v>9723</v>
      </c>
      <c r="H311" s="156" t="n">
        <v>4454</v>
      </c>
      <c r="I311" s="156" t="n">
        <v>5269</v>
      </c>
      <c r="J311" s="157" t="n">
        <v>4419.68</v>
      </c>
      <c r="K311" s="157" t="n">
        <v>4454.2</v>
      </c>
      <c r="L311" s="220">
        <f>F311*(K311-J311)</f>
        <v/>
      </c>
    </row>
    <row r="312" ht="16.5" customHeight="1">
      <c r="A312" s="158" t="n"/>
      <c r="B312" s="158" t="n"/>
      <c r="C312" s="158" t="n"/>
      <c r="D312" s="155" t="inlineStr">
        <is>
          <t>遠傳(4904)</t>
        </is>
      </c>
      <c r="E312" s="156" t="n">
        <v>900</v>
      </c>
      <c r="F312" s="156" t="n">
        <v>0</v>
      </c>
      <c r="G312" s="156" t="n">
        <v>9361</v>
      </c>
      <c r="H312" s="156" t="n">
        <v>0</v>
      </c>
      <c r="I312" s="156" t="n">
        <v>9361</v>
      </c>
      <c r="J312" s="157" t="n">
        <v>104.01</v>
      </c>
      <c r="K312" s="157" t="n">
        <v>0</v>
      </c>
      <c r="L312" s="220">
        <f>F312*(K312-J312)</f>
        <v/>
      </c>
    </row>
    <row r="313" ht="16.5" customHeight="1">
      <c r="A313" s="158" t="n"/>
      <c r="B313" s="158" t="n"/>
      <c r="C313" s="158" t="n"/>
      <c r="D313" s="155" t="inlineStr">
        <is>
          <t>南亞科(2408)</t>
        </is>
      </c>
      <c r="E313" s="156" t="n">
        <v>155</v>
      </c>
      <c r="F313" s="156" t="n">
        <v>87</v>
      </c>
      <c r="G313" s="156" t="n">
        <v>6711</v>
      </c>
      <c r="H313" s="156" t="n">
        <v>3698</v>
      </c>
      <c r="I313" s="156" t="n">
        <v>3013</v>
      </c>
      <c r="J313" s="157" t="n">
        <v>432.99</v>
      </c>
      <c r="K313" s="157" t="n">
        <v>425.09</v>
      </c>
      <c r="L313" s="219">
        <f>F313*(K313-J313)</f>
        <v/>
      </c>
    </row>
    <row r="314" ht="16.5" customHeight="1">
      <c r="A314" s="158" t="n"/>
      <c r="B314" s="158" t="n"/>
      <c r="C314" s="158" t="n"/>
      <c r="D314" s="155" t="inlineStr">
        <is>
          <t>國巨*(2327)</t>
        </is>
      </c>
      <c r="E314" s="156" t="n">
        <v>56</v>
      </c>
      <c r="F314" s="156" t="n">
        <v>40</v>
      </c>
      <c r="G314" s="156" t="n">
        <v>6397</v>
      </c>
      <c r="H314" s="156" t="n">
        <v>4551</v>
      </c>
      <c r="I314" s="156" t="n">
        <v>1846</v>
      </c>
      <c r="J314" s="157" t="n">
        <v>1142.34</v>
      </c>
      <c r="K314" s="157" t="n">
        <v>1137.78</v>
      </c>
      <c r="L314" s="219">
        <f>F314*(K314-J314)</f>
        <v/>
      </c>
    </row>
    <row r="315" ht="16.5" customHeight="1">
      <c r="A315" s="158" t="n"/>
      <c r="B315" s="158" t="n"/>
      <c r="C315" s="158" t="n"/>
      <c r="D315" s="155" t="inlineStr">
        <is>
          <t>臻鼎-KY(4958)</t>
        </is>
      </c>
      <c r="E315" s="156" t="n">
        <v>76</v>
      </c>
      <c r="F315" s="156" t="n">
        <v>32</v>
      </c>
      <c r="G315" s="156" t="n">
        <v>4802</v>
      </c>
      <c r="H315" s="156" t="n">
        <v>1989</v>
      </c>
      <c r="I315" s="156" t="n">
        <v>2813</v>
      </c>
      <c r="J315" s="157" t="n">
        <v>631.83</v>
      </c>
      <c r="K315" s="157" t="n">
        <v>621.6900000000001</v>
      </c>
      <c r="L315" s="219">
        <f>F315*(K315-J315)</f>
        <v/>
      </c>
    </row>
    <row r="316" ht="16.5" customHeight="1">
      <c r="A316" s="158" t="n"/>
      <c r="B316" s="158" t="n"/>
      <c r="C316" s="158" t="n"/>
      <c r="D316" s="155" t="inlineStr">
        <is>
          <t>力智(6719)</t>
        </is>
      </c>
      <c r="E316" s="156" t="n">
        <v>129</v>
      </c>
      <c r="F316" s="156" t="n">
        <v>9</v>
      </c>
      <c r="G316" s="156" t="n">
        <v>3823</v>
      </c>
      <c r="H316" s="156" t="n">
        <v>264</v>
      </c>
      <c r="I316" s="156" t="n">
        <v>3559</v>
      </c>
      <c r="J316" s="157" t="n">
        <v>296.35</v>
      </c>
      <c r="K316" s="157" t="n">
        <v>293.56</v>
      </c>
      <c r="L316" s="219">
        <f>F316*(K316-J316)</f>
        <v/>
      </c>
    </row>
    <row r="317" ht="16.5" customHeight="1">
      <c r="A317" s="158" t="n"/>
      <c r="B317" s="158" t="n"/>
      <c r="C317" s="158" t="n"/>
      <c r="D317" s="155" t="inlineStr">
        <is>
          <t>日月光投控(3711)</t>
        </is>
      </c>
      <c r="E317" s="156" t="n">
        <v>52</v>
      </c>
      <c r="F317" s="156" t="n">
        <v>16</v>
      </c>
      <c r="G317" s="156" t="n">
        <v>3690</v>
      </c>
      <c r="H317" s="156" t="n">
        <v>1095</v>
      </c>
      <c r="I317" s="156" t="n">
        <v>2595</v>
      </c>
      <c r="J317" s="157" t="n">
        <v>709.6900000000001</v>
      </c>
      <c r="K317" s="157" t="n">
        <v>684.38</v>
      </c>
      <c r="L317" s="219">
        <f>F317*(K317-J317)</f>
        <v/>
      </c>
    </row>
    <row r="318" ht="16.5" customHeight="1">
      <c r="A318" s="158" t="n"/>
      <c r="B318" s="158" t="n"/>
      <c r="C318" s="158" t="n"/>
      <c r="D318" s="155" t="inlineStr">
        <is>
          <t>大立光(3008)</t>
        </is>
      </c>
      <c r="E318" s="156" t="n">
        <v>7</v>
      </c>
      <c r="F318" s="156" t="n">
        <v>3</v>
      </c>
      <c r="G318" s="156" t="n">
        <v>3147</v>
      </c>
      <c r="H318" s="156" t="n">
        <v>1320</v>
      </c>
      <c r="I318" s="156" t="n">
        <v>1827</v>
      </c>
      <c r="J318" s="157" t="n">
        <v>4495.86</v>
      </c>
      <c r="K318" s="157" t="n">
        <v>4400.33</v>
      </c>
      <c r="L318" s="219">
        <f>F318*(K318-J318)</f>
        <v/>
      </c>
    </row>
    <row r="319" ht="16.5" customHeight="1">
      <c r="A319" s="158" t="n"/>
      <c r="B319" s="158" t="n"/>
      <c r="C319" s="158" t="n"/>
      <c r="D319" s="155" t="inlineStr">
        <is>
          <t>鴻海(2317)</t>
        </is>
      </c>
      <c r="E319" s="156" t="n">
        <v>91</v>
      </c>
      <c r="F319" s="156" t="n">
        <v>4</v>
      </c>
      <c r="G319" s="156" t="n">
        <v>2277</v>
      </c>
      <c r="H319" s="156" t="n">
        <v>110</v>
      </c>
      <c r="I319" s="156" t="n">
        <v>2167</v>
      </c>
      <c r="J319" s="157" t="n">
        <v>250.18</v>
      </c>
      <c r="K319" s="157" t="n">
        <v>275.25</v>
      </c>
      <c r="L319" s="220">
        <f>F319*(K319-J319)</f>
        <v/>
      </c>
    </row>
    <row r="320" ht="16.5" customHeight="1">
      <c r="A320" s="159" t="n"/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A321" s="158" t="n"/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南亞(1303)</t>
        </is>
      </c>
      <c r="E321" s="156" t="n">
        <v>1015</v>
      </c>
      <c r="F321" s="156" t="n">
        <v>210</v>
      </c>
      <c r="G321" s="156" t="n">
        <v>18563</v>
      </c>
      <c r="H321" s="156" t="n">
        <v>3815</v>
      </c>
      <c r="I321" s="156" t="n">
        <v>14748</v>
      </c>
      <c r="J321" s="157" t="n">
        <v>182.88</v>
      </c>
      <c r="K321" s="157" t="n">
        <v>181.66</v>
      </c>
      <c r="L321" s="219">
        <f>F321*(K321-J321)</f>
        <v/>
      </c>
    </row>
    <row r="322" ht="16.5" customHeight="1">
      <c r="A322" s="158" t="n"/>
      <c r="B322" s="158" t="n"/>
      <c r="C322" s="158" t="n"/>
      <c r="D322" s="155" t="inlineStr">
        <is>
          <t>環球晶(6488)</t>
        </is>
      </c>
      <c r="E322" s="156" t="n">
        <v>123</v>
      </c>
      <c r="F322" s="156" t="n">
        <v>6</v>
      </c>
      <c r="G322" s="156" t="n">
        <v>13592</v>
      </c>
      <c r="H322" s="156" t="n">
        <v>662</v>
      </c>
      <c r="I322" s="156" t="n">
        <v>12930</v>
      </c>
      <c r="J322" s="157" t="n">
        <v>1105</v>
      </c>
      <c r="K322" s="157" t="n">
        <v>1103.67</v>
      </c>
      <c r="L322" s="219">
        <f>F322*(K322-J322)</f>
        <v/>
      </c>
    </row>
    <row r="323" ht="16.5" customHeight="1">
      <c r="A323" s="158" t="n"/>
      <c r="B323" s="158" t="n"/>
      <c r="C323" s="158" t="n"/>
      <c r="D323" s="155" t="inlineStr">
        <is>
          <t>友達(2409)</t>
        </is>
      </c>
      <c r="E323" s="156" t="n">
        <v>3756</v>
      </c>
      <c r="F323" s="156" t="n">
        <v>3336</v>
      </c>
      <c r="G323" s="156" t="n">
        <v>11912</v>
      </c>
      <c r="H323" s="156" t="n">
        <v>10483</v>
      </c>
      <c r="I323" s="156" t="n">
        <v>1429</v>
      </c>
      <c r="J323" s="157" t="n">
        <v>31.72</v>
      </c>
      <c r="K323" s="157" t="n">
        <v>31.42</v>
      </c>
      <c r="L323" s="219">
        <f>F323*(K323-J323)</f>
        <v/>
      </c>
    </row>
    <row r="324" ht="16.5" customHeight="1">
      <c r="A324" s="158" t="n"/>
      <c r="B324" s="158" t="n"/>
      <c r="C324" s="158" t="n"/>
      <c r="D324" s="155" t="inlineStr">
        <is>
          <t>南亞科(2408)</t>
        </is>
      </c>
      <c r="E324" s="156" t="n">
        <v>210</v>
      </c>
      <c r="F324" s="156" t="n">
        <v>196</v>
      </c>
      <c r="G324" s="156" t="n">
        <v>8854</v>
      </c>
      <c r="H324" s="156" t="n">
        <v>8270</v>
      </c>
      <c r="I324" s="156" t="n">
        <v>584</v>
      </c>
      <c r="J324" s="157" t="n">
        <v>421.62</v>
      </c>
      <c r="K324" s="157" t="n">
        <v>421.94</v>
      </c>
      <c r="L324" s="220">
        <f>F324*(K324-J324)</f>
        <v/>
      </c>
    </row>
    <row r="325" ht="16.5" customHeight="1">
      <c r="A325" s="158" t="n"/>
      <c r="B325" s="158" t="n"/>
      <c r="C325" s="158" t="n"/>
      <c r="D325" s="155" t="inlineStr">
        <is>
          <t>信昌電(6173)</t>
        </is>
      </c>
      <c r="E325" s="156" t="n">
        <v>251</v>
      </c>
      <c r="F325" s="156" t="n">
        <v>2</v>
      </c>
      <c r="G325" s="156" t="n">
        <v>8542</v>
      </c>
      <c r="H325" s="156" t="n">
        <v>54</v>
      </c>
      <c r="I325" s="156" t="n">
        <v>8488</v>
      </c>
      <c r="J325" s="157" t="n">
        <v>340.33</v>
      </c>
      <c r="K325" s="157" t="n">
        <v>271.5</v>
      </c>
      <c r="L325" s="219">
        <f>F325*(K325-J325)</f>
        <v/>
      </c>
    </row>
    <row r="326" ht="16.5" customHeight="1">
      <c r="A326" s="158" t="n"/>
      <c r="B326" s="158" t="n"/>
      <c r="C326" s="158" t="n"/>
      <c r="D326" s="155" t="inlineStr">
        <is>
          <t>群創(3481)</t>
        </is>
      </c>
      <c r="E326" s="156" t="n">
        <v>1087</v>
      </c>
      <c r="F326" s="156" t="n">
        <v>906</v>
      </c>
      <c r="G326" s="156" t="n">
        <v>7546</v>
      </c>
      <c r="H326" s="156" t="n">
        <v>6278</v>
      </c>
      <c r="I326" s="156" t="n">
        <v>1268</v>
      </c>
      <c r="J326" s="157" t="n">
        <v>69.42</v>
      </c>
      <c r="K326" s="157" t="n">
        <v>69.29000000000001</v>
      </c>
      <c r="L326" s="219">
        <f>F326*(K326-J326)</f>
        <v/>
      </c>
    </row>
    <row r="327" ht="16.5" customHeight="1">
      <c r="A327" s="158" t="n"/>
      <c r="B327" s="158" t="n"/>
      <c r="C327" s="158" t="n"/>
      <c r="D327" s="155" t="inlineStr">
        <is>
          <t>力積電(6770)</t>
        </is>
      </c>
      <c r="E327" s="156" t="n">
        <v>601</v>
      </c>
      <c r="F327" s="156" t="n">
        <v>547</v>
      </c>
      <c r="G327" s="156" t="n">
        <v>4501</v>
      </c>
      <c r="H327" s="156" t="n">
        <v>4085</v>
      </c>
      <c r="I327" s="156" t="n">
        <v>416</v>
      </c>
      <c r="J327" s="157" t="n">
        <v>74.89</v>
      </c>
      <c r="K327" s="157" t="n">
        <v>74.68000000000001</v>
      </c>
      <c r="L327" s="219">
        <f>F327*(K327-J327)</f>
        <v/>
      </c>
    </row>
    <row r="328" ht="16.5" customHeight="1">
      <c r="A328" s="158" t="n"/>
      <c r="B328" s="158" t="n"/>
      <c r="C328" s="158" t="n"/>
      <c r="D328" s="155" t="inlineStr">
        <is>
          <t>聯發科(2454)</t>
        </is>
      </c>
      <c r="E328" s="156" t="n">
        <v>9</v>
      </c>
      <c r="F328" s="156" t="n">
        <v>6</v>
      </c>
      <c r="G328" s="156" t="n">
        <v>3830</v>
      </c>
      <c r="H328" s="156" t="n">
        <v>2796</v>
      </c>
      <c r="I328" s="156" t="n">
        <v>1034</v>
      </c>
      <c r="J328" s="157" t="n">
        <v>4255.33</v>
      </c>
      <c r="K328" s="157" t="n">
        <v>4659.83</v>
      </c>
      <c r="L328" s="220">
        <f>F328*(K328-J328)</f>
        <v/>
      </c>
    </row>
    <row r="329" ht="16.5" customHeight="1">
      <c r="A329" s="158" t="n"/>
      <c r="B329" s="158" t="n"/>
      <c r="C329" s="158" t="n"/>
      <c r="D329" s="155" t="inlineStr">
        <is>
          <t>金像電(2368)</t>
        </is>
      </c>
      <c r="E329" s="156" t="n">
        <v>24</v>
      </c>
      <c r="F329" s="156" t="n">
        <v>5</v>
      </c>
      <c r="G329" s="156" t="n">
        <v>2957</v>
      </c>
      <c r="H329" s="156" t="n">
        <v>624</v>
      </c>
      <c r="I329" s="156" t="n">
        <v>2333</v>
      </c>
      <c r="J329" s="157" t="n">
        <v>1231.96</v>
      </c>
      <c r="K329" s="157" t="n">
        <v>1248.4</v>
      </c>
      <c r="L329" s="220">
        <f>F329*(K329-J329)</f>
        <v/>
      </c>
    </row>
    <row r="330" ht="16.5" customHeight="1">
      <c r="A330" s="158" t="n"/>
      <c r="B330" s="158" t="n"/>
      <c r="C330" s="158" t="n"/>
      <c r="D330" s="155" t="inlineStr">
        <is>
          <t>台光電(2383)</t>
        </is>
      </c>
      <c r="E330" s="156" t="n">
        <v>5</v>
      </c>
      <c r="F330" s="156" t="n">
        <v>2</v>
      </c>
      <c r="G330" s="156" t="n">
        <v>2791</v>
      </c>
      <c r="H330" s="156" t="n">
        <v>1158</v>
      </c>
      <c r="I330" s="156" t="n">
        <v>1633</v>
      </c>
      <c r="J330" s="157" t="n">
        <v>5581.6</v>
      </c>
      <c r="K330" s="157" t="n">
        <v>5787.5</v>
      </c>
      <c r="L330" s="220">
        <f>F330*(K330-J330)</f>
        <v/>
      </c>
    </row>
    <row r="331" ht="16.5" customHeight="1">
      <c r="A331" s="159" t="n"/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A332" s="158" t="n"/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華邦電(2344)</t>
        </is>
      </c>
      <c r="E332" s="156" t="n">
        <v>331</v>
      </c>
      <c r="F332" s="156" t="n">
        <v>233</v>
      </c>
      <c r="G332" s="156" t="n">
        <v>6481</v>
      </c>
      <c r="H332" s="156" t="n">
        <v>4493</v>
      </c>
      <c r="I332" s="156" t="n">
        <v>1988</v>
      </c>
      <c r="J332" s="157" t="n">
        <v>195.8</v>
      </c>
      <c r="K332" s="157" t="n">
        <v>192.82</v>
      </c>
      <c r="L332" s="219">
        <f>F332*(K332-J332)</f>
        <v/>
      </c>
    </row>
    <row r="333" ht="16.5" customHeight="1">
      <c r="A333" s="158" t="n"/>
      <c r="B333" s="158" t="n"/>
      <c r="C333" s="158" t="n"/>
      <c r="D333" s="155" t="inlineStr">
        <is>
          <t>富邦金(2881)</t>
        </is>
      </c>
      <c r="E333" s="156" t="n">
        <v>503</v>
      </c>
      <c r="F333" s="156" t="n">
        <v>10</v>
      </c>
      <c r="G333" s="156" t="n">
        <v>6354</v>
      </c>
      <c r="H333" s="156" t="n">
        <v>129</v>
      </c>
      <c r="I333" s="156" t="n">
        <v>6225</v>
      </c>
      <c r="J333" s="157" t="n">
        <v>126.33</v>
      </c>
      <c r="K333" s="157" t="n">
        <v>129.4</v>
      </c>
      <c r="L333" s="220">
        <f>F333*(K333-J333)</f>
        <v/>
      </c>
    </row>
    <row r="334" ht="16.5" customHeight="1">
      <c r="A334" s="158" t="n"/>
      <c r="B334" s="158" t="n"/>
      <c r="C334" s="158" t="n"/>
      <c r="D334" s="155" t="inlineStr">
        <is>
          <t>國巨*(2327)</t>
        </is>
      </c>
      <c r="E334" s="156" t="n">
        <v>53</v>
      </c>
      <c r="F334" s="156" t="n">
        <v>31</v>
      </c>
      <c r="G334" s="156" t="n">
        <v>6056</v>
      </c>
      <c r="H334" s="156" t="n">
        <v>3537</v>
      </c>
      <c r="I334" s="156" t="n">
        <v>2519</v>
      </c>
      <c r="J334" s="157" t="n">
        <v>1142.6</v>
      </c>
      <c r="K334" s="157" t="n">
        <v>1141</v>
      </c>
      <c r="L334" s="219">
        <f>F334*(K334-J334)</f>
        <v/>
      </c>
    </row>
    <row r="335" ht="16.5" customHeight="1">
      <c r="A335" s="158" t="n"/>
      <c r="B335" s="158" t="n"/>
      <c r="C335" s="158" t="n"/>
      <c r="D335" s="155" t="inlineStr">
        <is>
          <t>臻鼎-KY(4958)</t>
        </is>
      </c>
      <c r="E335" s="156" t="n">
        <v>81</v>
      </c>
      <c r="F335" s="156" t="n">
        <v>43</v>
      </c>
      <c r="G335" s="156" t="n">
        <v>4872</v>
      </c>
      <c r="H335" s="156" t="n">
        <v>2574</v>
      </c>
      <c r="I335" s="156" t="n">
        <v>2298</v>
      </c>
      <c r="J335" s="157" t="n">
        <v>601.4400000000001</v>
      </c>
      <c r="K335" s="157" t="n">
        <v>598.63</v>
      </c>
      <c r="L335" s="219">
        <f>F335*(K335-J335)</f>
        <v/>
      </c>
    </row>
    <row r="336" ht="16.5" customHeight="1">
      <c r="A336" s="158" t="n"/>
      <c r="B336" s="158" t="n"/>
      <c r="C336" s="158" t="n"/>
      <c r="D336" s="155" t="inlineStr">
        <is>
          <t>大立光(3008)</t>
        </is>
      </c>
      <c r="E336" s="156" t="n">
        <v>8</v>
      </c>
      <c r="F336" s="156" t="n">
        <v>6</v>
      </c>
      <c r="G336" s="156" t="n">
        <v>3553</v>
      </c>
      <c r="H336" s="156" t="n">
        <v>2689</v>
      </c>
      <c r="I336" s="156" t="n">
        <v>864</v>
      </c>
      <c r="J336" s="157" t="n">
        <v>4441.62</v>
      </c>
      <c r="K336" s="157" t="n">
        <v>4481.67</v>
      </c>
      <c r="L336" s="220">
        <f>F336*(K336-J336)</f>
        <v/>
      </c>
    </row>
    <row r="337" ht="16.5" customHeight="1">
      <c r="A337" s="158" t="n"/>
      <c r="B337" s="158" t="n"/>
      <c r="C337" s="158" t="n"/>
      <c r="D337" s="155" t="inlineStr">
        <is>
          <t>聯茂(6213)</t>
        </is>
      </c>
      <c r="E337" s="156" t="n">
        <v>97</v>
      </c>
      <c r="F337" s="156" t="n">
        <v>72</v>
      </c>
      <c r="G337" s="156" t="n">
        <v>3485</v>
      </c>
      <c r="H337" s="156" t="n">
        <v>2581</v>
      </c>
      <c r="I337" s="156" t="n">
        <v>904</v>
      </c>
      <c r="J337" s="157" t="n">
        <v>359.31</v>
      </c>
      <c r="K337" s="157" t="n">
        <v>358.49</v>
      </c>
      <c r="L337" s="219">
        <f>F337*(K337-J337)</f>
        <v/>
      </c>
    </row>
    <row r="338" ht="16.5" customHeight="1">
      <c r="A338" s="158" t="n"/>
      <c r="B338" s="158" t="n"/>
      <c r="C338" s="158" t="n"/>
      <c r="D338" s="155" t="inlineStr">
        <is>
          <t>友達(2409)</t>
        </is>
      </c>
      <c r="E338" s="156" t="n">
        <v>920</v>
      </c>
      <c r="F338" s="156" t="n">
        <v>603</v>
      </c>
      <c r="G338" s="156" t="n">
        <v>2954</v>
      </c>
      <c r="H338" s="156" t="n">
        <v>1967</v>
      </c>
      <c r="I338" s="156" t="n">
        <v>987</v>
      </c>
      <c r="J338" s="157" t="n">
        <v>32.11</v>
      </c>
      <c r="K338" s="157" t="n">
        <v>32.62</v>
      </c>
      <c r="L338" s="220">
        <f>F338*(K338-J338)</f>
        <v/>
      </c>
    </row>
    <row r="339" ht="16.5" customHeight="1">
      <c r="A339" s="158" t="n"/>
      <c r="B339" s="158" t="n"/>
      <c r="C339" s="158" t="n"/>
      <c r="D339" s="155" t="inlineStr">
        <is>
          <t>京元電子(2449)</t>
        </is>
      </c>
      <c r="E339" s="156" t="n">
        <v>83</v>
      </c>
      <c r="F339" s="156" t="n">
        <v>67</v>
      </c>
      <c r="G339" s="156" t="n">
        <v>2732</v>
      </c>
      <c r="H339" s="156" t="n">
        <v>2209</v>
      </c>
      <c r="I339" s="156" t="n">
        <v>523</v>
      </c>
      <c r="J339" s="157" t="n">
        <v>329.13</v>
      </c>
      <c r="K339" s="157" t="n">
        <v>329.66</v>
      </c>
      <c r="L339" s="220">
        <f>F339*(K339-J339)</f>
        <v/>
      </c>
    </row>
    <row r="340" ht="16.5" customHeight="1">
      <c r="A340" s="158" t="n"/>
      <c r="B340" s="158" t="n"/>
      <c r="C340" s="158" t="n"/>
      <c r="D340" s="155" t="inlineStr">
        <is>
          <t>鴻海(2317)</t>
        </is>
      </c>
      <c r="E340" s="156" t="n">
        <v>109</v>
      </c>
      <c r="F340" s="156" t="n">
        <v>31</v>
      </c>
      <c r="G340" s="156" t="n">
        <v>2724</v>
      </c>
      <c r="H340" s="156" t="n">
        <v>791</v>
      </c>
      <c r="I340" s="156" t="n">
        <v>1933</v>
      </c>
      <c r="J340" s="157" t="n">
        <v>249.94</v>
      </c>
      <c r="K340" s="157" t="n">
        <v>255.03</v>
      </c>
      <c r="L340" s="220">
        <f>F340*(K340-J340)</f>
        <v/>
      </c>
    </row>
    <row r="341" ht="16.5" customHeight="1">
      <c r="A341" s="158" t="n"/>
      <c r="B341" s="158" t="n"/>
      <c r="C341" s="158" t="n"/>
      <c r="D341" s="155" t="inlineStr">
        <is>
          <t>力積電(6770)</t>
        </is>
      </c>
      <c r="E341" s="156" t="n">
        <v>318</v>
      </c>
      <c r="F341" s="156" t="n">
        <v>244</v>
      </c>
      <c r="G341" s="156" t="n">
        <v>2422</v>
      </c>
      <c r="H341" s="156" t="n">
        <v>1834</v>
      </c>
      <c r="I341" s="156" t="n">
        <v>588</v>
      </c>
      <c r="J341" s="157" t="n">
        <v>76.15000000000001</v>
      </c>
      <c r="K341" s="157" t="n">
        <v>75.17</v>
      </c>
      <c r="L341" s="219">
        <f>F341*(K341-J341)</f>
        <v/>
      </c>
    </row>
    <row r="342" ht="16.5" customHeight="1">
      <c r="A342" s="159" t="n"/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A343" s="158" t="n"/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聯發科(2454)</t>
        </is>
      </c>
      <c r="E343" s="156" t="n">
        <v>14</v>
      </c>
      <c r="F343" s="156" t="n">
        <v>4</v>
      </c>
      <c r="G343" s="156" t="n">
        <v>5885</v>
      </c>
      <c r="H343" s="156" t="n">
        <v>1657</v>
      </c>
      <c r="I343" s="156" t="n">
        <v>4228</v>
      </c>
      <c r="J343" s="157" t="n">
        <v>4203.5</v>
      </c>
      <c r="K343" s="157" t="n">
        <v>4142.5</v>
      </c>
      <c r="L343" s="219">
        <f>F343*(K343-J343)</f>
        <v/>
      </c>
    </row>
    <row r="344" ht="16.5" customHeight="1">
      <c r="A344" s="158" t="n"/>
      <c r="B344" s="158" t="n"/>
      <c r="C344" s="158" t="n"/>
      <c r="D344" s="155" t="inlineStr">
        <is>
          <t>鴻海(2317)</t>
        </is>
      </c>
      <c r="E344" s="156" t="n">
        <v>132</v>
      </c>
      <c r="F344" s="156" t="n">
        <v>21</v>
      </c>
      <c r="G344" s="156" t="n">
        <v>3284</v>
      </c>
      <c r="H344" s="156" t="n">
        <v>535</v>
      </c>
      <c r="I344" s="156" t="n">
        <v>2749</v>
      </c>
      <c r="J344" s="157" t="n">
        <v>248.75</v>
      </c>
      <c r="K344" s="157" t="n">
        <v>254.71</v>
      </c>
      <c r="L344" s="220">
        <f>F344*(K344-J344)</f>
        <v/>
      </c>
    </row>
    <row r="345" ht="16.5" customHeight="1">
      <c r="A345" s="158" t="n"/>
      <c r="B345" s="158" t="n"/>
      <c r="C345" s="158" t="n"/>
      <c r="D345" s="155" t="inlineStr">
        <is>
          <t>欣興(3037)</t>
        </is>
      </c>
      <c r="E345" s="156" t="n">
        <v>27</v>
      </c>
      <c r="F345" s="156" t="n">
        <v>16</v>
      </c>
      <c r="G345" s="156" t="n">
        <v>2847</v>
      </c>
      <c r="H345" s="156" t="n">
        <v>1652</v>
      </c>
      <c r="I345" s="156" t="n">
        <v>1195</v>
      </c>
      <c r="J345" s="157" t="n">
        <v>1054.48</v>
      </c>
      <c r="K345" s="157" t="n">
        <v>1032.5</v>
      </c>
      <c r="L345" s="219">
        <f>F345*(K345-J345)</f>
        <v/>
      </c>
    </row>
    <row r="346" ht="16.5" customHeight="1">
      <c r="A346" s="158" t="n"/>
      <c r="B346" s="158" t="n"/>
      <c r="C346" s="158" t="n"/>
      <c r="D346" s="155" t="inlineStr">
        <is>
          <t>臻鼎-KY(4958)</t>
        </is>
      </c>
      <c r="E346" s="156" t="n">
        <v>34</v>
      </c>
      <c r="F346" s="156" t="n">
        <v>27</v>
      </c>
      <c r="G346" s="156" t="n">
        <v>2037</v>
      </c>
      <c r="H346" s="156" t="n">
        <v>1631</v>
      </c>
      <c r="I346" s="156" t="n">
        <v>406</v>
      </c>
      <c r="J346" s="157" t="n">
        <v>599.03</v>
      </c>
      <c r="K346" s="157" t="n">
        <v>604.22</v>
      </c>
      <c r="L346" s="220">
        <f>F346*(K346-J346)</f>
        <v/>
      </c>
    </row>
    <row r="347" ht="16.5" customHeight="1">
      <c r="A347" s="158" t="n"/>
      <c r="B347" s="158" t="n"/>
      <c r="C347" s="158" t="n"/>
      <c r="D347" s="155" t="inlineStr">
        <is>
          <t>南電(8046)</t>
        </is>
      </c>
      <c r="E347" s="156" t="n">
        <v>16</v>
      </c>
      <c r="F347" s="156" t="n">
        <v>9</v>
      </c>
      <c r="G347" s="156" t="n">
        <v>1855</v>
      </c>
      <c r="H347" s="156" t="n">
        <v>1020</v>
      </c>
      <c r="I347" s="156" t="n">
        <v>835</v>
      </c>
      <c r="J347" s="157" t="n">
        <v>1159.12</v>
      </c>
      <c r="K347" s="157" t="n">
        <v>1133.67</v>
      </c>
      <c r="L347" s="219">
        <f>F347*(K347-J347)</f>
        <v/>
      </c>
    </row>
    <row r="348" ht="16.5" customHeight="1">
      <c r="A348" s="158" t="n"/>
      <c r="B348" s="158" t="n"/>
      <c r="C348" s="158" t="n"/>
      <c r="D348" s="155" t="inlineStr">
        <is>
          <t>大立光(3008)</t>
        </is>
      </c>
      <c r="E348" s="156" t="n">
        <v>4</v>
      </c>
      <c r="F348" s="156" t="n">
        <v>1</v>
      </c>
      <c r="G348" s="156" t="n">
        <v>1821</v>
      </c>
      <c r="H348" s="156" t="n">
        <v>45</v>
      </c>
      <c r="I348" s="156" t="n">
        <v>1776</v>
      </c>
      <c r="J348" s="157" t="n">
        <v>4552.5</v>
      </c>
      <c r="K348" s="157" t="n">
        <v>452</v>
      </c>
      <c r="L348" s="219">
        <f>F348*(K348-J348)</f>
        <v/>
      </c>
    </row>
    <row r="349" ht="16.5" customHeight="1">
      <c r="A349" s="158" t="n"/>
      <c r="B349" s="158" t="n"/>
      <c r="C349" s="158" t="n"/>
      <c r="D349" s="155" t="inlineStr">
        <is>
          <t>力積電(6770)</t>
        </is>
      </c>
      <c r="E349" s="156" t="n">
        <v>233</v>
      </c>
      <c r="F349" s="156" t="n">
        <v>89</v>
      </c>
      <c r="G349" s="156" t="n">
        <v>1762</v>
      </c>
      <c r="H349" s="156" t="n">
        <v>678</v>
      </c>
      <c r="I349" s="156" t="n">
        <v>1084</v>
      </c>
      <c r="J349" s="157" t="n">
        <v>75.64</v>
      </c>
      <c r="K349" s="157" t="n">
        <v>76.16</v>
      </c>
      <c r="L349" s="220">
        <f>F349*(K349-J349)</f>
        <v/>
      </c>
    </row>
    <row r="350" ht="16.5" customHeight="1">
      <c r="A350" s="158" t="n"/>
      <c r="B350" s="158" t="n"/>
      <c r="C350" s="158" t="n"/>
      <c r="D350" s="155" t="inlineStr">
        <is>
          <t>金居(8358)</t>
        </is>
      </c>
      <c r="E350" s="156" t="n">
        <v>29</v>
      </c>
      <c r="F350" s="156" t="n">
        <v>10</v>
      </c>
      <c r="G350" s="156" t="n">
        <v>1682</v>
      </c>
      <c r="H350" s="156" t="n">
        <v>559</v>
      </c>
      <c r="I350" s="156" t="n">
        <v>1123</v>
      </c>
      <c r="J350" s="157" t="n">
        <v>579.86</v>
      </c>
      <c r="K350" s="157" t="n">
        <v>558.6</v>
      </c>
      <c r="L350" s="219">
        <f>F350*(K350-J350)</f>
        <v/>
      </c>
    </row>
    <row r="351" ht="16.5" customHeight="1">
      <c r="A351" s="158" t="n"/>
      <c r="B351" s="158" t="n"/>
      <c r="C351" s="158" t="n"/>
      <c r="D351" s="155" t="inlineStr">
        <is>
          <t>富喬(1815)</t>
        </is>
      </c>
      <c r="E351" s="156" t="n">
        <v>142</v>
      </c>
      <c r="F351" s="156" t="n">
        <v>84</v>
      </c>
      <c r="G351" s="156" t="n">
        <v>1526</v>
      </c>
      <c r="H351" s="156" t="n">
        <v>920</v>
      </c>
      <c r="I351" s="156" t="n">
        <v>606</v>
      </c>
      <c r="J351" s="157" t="n">
        <v>107.45</v>
      </c>
      <c r="K351" s="157" t="n">
        <v>109.55</v>
      </c>
      <c r="L351" s="220">
        <f>F351*(K351-J351)</f>
        <v/>
      </c>
    </row>
    <row r="352" ht="16.5" customHeight="1">
      <c r="A352" s="158" t="n"/>
      <c r="B352" s="158" t="n"/>
      <c r="C352" s="158" t="n"/>
      <c r="D352" s="155" t="inlineStr">
        <is>
          <t>鈦昇(8027)</t>
        </is>
      </c>
      <c r="E352" s="156" t="n">
        <v>60</v>
      </c>
      <c r="F352" s="156" t="n">
        <v>1</v>
      </c>
      <c r="G352" s="156" t="n">
        <v>1420</v>
      </c>
      <c r="H352" s="156" t="n">
        <v>26</v>
      </c>
      <c r="I352" s="156" t="n">
        <v>1394</v>
      </c>
      <c r="J352" s="157" t="n">
        <v>236.58</v>
      </c>
      <c r="K352" s="157" t="n">
        <v>265</v>
      </c>
      <c r="L352" s="220">
        <f>F352*(K352-J352)</f>
        <v/>
      </c>
    </row>
    <row r="353" ht="16.5" customHeight="1">
      <c r="A353" s="159" t="n"/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A354" s="158" t="n"/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群創(3481)</t>
        </is>
      </c>
      <c r="E354" s="156" t="n">
        <v>1001</v>
      </c>
      <c r="F354" s="156" t="n">
        <v>953</v>
      </c>
      <c r="G354" s="156" t="n">
        <v>6747</v>
      </c>
      <c r="H354" s="156" t="n">
        <v>6423</v>
      </c>
      <c r="I354" s="156" t="n">
        <v>324</v>
      </c>
      <c r="J354" s="157" t="n">
        <v>67.40000000000001</v>
      </c>
      <c r="K354" s="157" t="n">
        <v>67.40000000000001</v>
      </c>
      <c r="L354" s="220">
        <f>F354*(K354-J354)</f>
        <v/>
      </c>
    </row>
    <row r="355" ht="16.5" customHeight="1">
      <c r="A355" s="158" t="n"/>
      <c r="B355" s="158" t="n"/>
      <c r="C355" s="158" t="n"/>
      <c r="D355" s="155" t="inlineStr">
        <is>
          <t>臻鼎-KY(4958)</t>
        </is>
      </c>
      <c r="E355" s="156" t="n">
        <v>82</v>
      </c>
      <c r="F355" s="156" t="n">
        <v>57</v>
      </c>
      <c r="G355" s="156" t="n">
        <v>4972</v>
      </c>
      <c r="H355" s="156" t="n">
        <v>3411</v>
      </c>
      <c r="I355" s="156" t="n">
        <v>1561</v>
      </c>
      <c r="J355" s="157" t="n">
        <v>606.38</v>
      </c>
      <c r="K355" s="157" t="n">
        <v>598.4400000000001</v>
      </c>
      <c r="L355" s="219">
        <f>F355*(K355-J355)</f>
        <v/>
      </c>
    </row>
    <row r="356" ht="16.5" customHeight="1">
      <c r="A356" s="158" t="n"/>
      <c r="B356" s="158" t="n"/>
      <c r="C356" s="158" t="n"/>
      <c r="D356" s="155" t="inlineStr">
        <is>
          <t>鴻海(2317)</t>
        </is>
      </c>
      <c r="E356" s="156" t="n">
        <v>99</v>
      </c>
      <c r="F356" s="156" t="n">
        <v>13</v>
      </c>
      <c r="G356" s="156" t="n">
        <v>2484</v>
      </c>
      <c r="H356" s="156" t="n">
        <v>333</v>
      </c>
      <c r="I356" s="156" t="n">
        <v>2151</v>
      </c>
      <c r="J356" s="157" t="n">
        <v>250.89</v>
      </c>
      <c r="K356" s="157" t="n">
        <v>256.31</v>
      </c>
      <c r="L356" s="220">
        <f>F356*(K356-J356)</f>
        <v/>
      </c>
    </row>
    <row r="357" ht="16.5" customHeight="1">
      <c r="A357" s="158" t="n"/>
      <c r="B357" s="158" t="n"/>
      <c r="C357" s="158" t="n"/>
      <c r="D357" s="155" t="inlineStr">
        <is>
          <t>華邦電(2344)</t>
        </is>
      </c>
      <c r="E357" s="156" t="n">
        <v>124</v>
      </c>
      <c r="F357" s="156" t="n">
        <v>77</v>
      </c>
      <c r="G357" s="156" t="n">
        <v>2441</v>
      </c>
      <c r="H357" s="156" t="n">
        <v>1491</v>
      </c>
      <c r="I357" s="156" t="n">
        <v>950</v>
      </c>
      <c r="J357" s="157" t="n">
        <v>196.88</v>
      </c>
      <c r="K357" s="157" t="n">
        <v>193.68</v>
      </c>
      <c r="L357" s="219">
        <f>F357*(K357-J357)</f>
        <v/>
      </c>
    </row>
    <row r="358" ht="16.5" customHeight="1">
      <c r="A358" s="158" t="n"/>
      <c r="B358" s="158" t="n"/>
      <c r="C358" s="158" t="n"/>
      <c r="D358" s="155" t="inlineStr">
        <is>
          <t>台玻(1802)</t>
        </is>
      </c>
      <c r="E358" s="156" t="n">
        <v>257</v>
      </c>
      <c r="F358" s="156" t="n">
        <v>219</v>
      </c>
      <c r="G358" s="156" t="n">
        <v>1912</v>
      </c>
      <c r="H358" s="156" t="n">
        <v>1645</v>
      </c>
      <c r="I358" s="156" t="n">
        <v>267</v>
      </c>
      <c r="J358" s="157" t="n">
        <v>74.38</v>
      </c>
      <c r="K358" s="157" t="n">
        <v>75.12</v>
      </c>
      <c r="L358" s="220">
        <f>F358*(K358-J358)</f>
        <v/>
      </c>
    </row>
    <row r="359" ht="16.5" customHeight="1">
      <c r="A359" s="158" t="n"/>
      <c r="B359" s="158" t="n"/>
      <c r="C359" s="158" t="n"/>
      <c r="D359" s="155" t="inlineStr">
        <is>
          <t>景碩(3189)</t>
        </is>
      </c>
      <c r="E359" s="156" t="n">
        <v>21</v>
      </c>
      <c r="F359" s="156" t="n">
        <v>11</v>
      </c>
      <c r="G359" s="156" t="n">
        <v>1838</v>
      </c>
      <c r="H359" s="156" t="n">
        <v>953</v>
      </c>
      <c r="I359" s="156" t="n">
        <v>885</v>
      </c>
      <c r="J359" s="157" t="n">
        <v>875.33</v>
      </c>
      <c r="K359" s="157" t="n">
        <v>866.09</v>
      </c>
      <c r="L359" s="219">
        <f>F359*(K359-J359)</f>
        <v/>
      </c>
    </row>
    <row r="360" ht="16.5" customHeight="1">
      <c r="A360" s="158" t="n"/>
      <c r="B360" s="158" t="n"/>
      <c r="C360" s="158" t="n"/>
      <c r="D360" s="155" t="inlineStr">
        <is>
          <t>友達(2409)</t>
        </is>
      </c>
      <c r="E360" s="156" t="n">
        <v>494</v>
      </c>
      <c r="F360" s="156" t="n">
        <v>450</v>
      </c>
      <c r="G360" s="156" t="n">
        <v>1514</v>
      </c>
      <c r="H360" s="156" t="n">
        <v>1379</v>
      </c>
      <c r="I360" s="156" t="n">
        <v>135</v>
      </c>
      <c r="J360" s="157" t="n">
        <v>30.65</v>
      </c>
      <c r="K360" s="157" t="n">
        <v>30.65</v>
      </c>
      <c r="L360" s="220">
        <f>F360*(K360-J360)</f>
        <v/>
      </c>
    </row>
    <row r="361" ht="16.5" customHeight="1">
      <c r="A361" s="158" t="n"/>
      <c r="B361" s="158" t="n"/>
      <c r="C361" s="158" t="n"/>
      <c r="D361" s="155" t="inlineStr">
        <is>
          <t>創見(2451)</t>
        </is>
      </c>
      <c r="E361" s="156" t="n">
        <v>51</v>
      </c>
      <c r="F361" s="156" t="n">
        <v>4</v>
      </c>
      <c r="G361" s="156" t="n">
        <v>1285</v>
      </c>
      <c r="H361" s="156" t="n">
        <v>94</v>
      </c>
      <c r="I361" s="156" t="n">
        <v>1191</v>
      </c>
      <c r="J361" s="157" t="n">
        <v>251.94</v>
      </c>
      <c r="K361" s="157" t="n">
        <v>234.5</v>
      </c>
      <c r="L361" s="219">
        <f>F361*(K361-J361)</f>
        <v/>
      </c>
    </row>
    <row r="362" ht="16.5" customHeight="1">
      <c r="A362" s="158" t="n"/>
      <c r="B362" s="158" t="n"/>
      <c r="C362" s="158" t="n"/>
      <c r="D362" s="155" t="inlineStr">
        <is>
          <t>威剛(3260)</t>
        </is>
      </c>
      <c r="E362" s="156" t="n">
        <v>32</v>
      </c>
      <c r="F362" s="156" t="n">
        <v>6</v>
      </c>
      <c r="G362" s="156" t="n">
        <v>1259</v>
      </c>
      <c r="H362" s="156" t="n">
        <v>258</v>
      </c>
      <c r="I362" s="156" t="n">
        <v>1001</v>
      </c>
      <c r="J362" s="157" t="n">
        <v>393.41</v>
      </c>
      <c r="K362" s="157" t="n">
        <v>429.17</v>
      </c>
      <c r="L362" s="220">
        <f>F362*(K362-J362)</f>
        <v/>
      </c>
    </row>
    <row r="363" ht="16.5" customHeight="1">
      <c r="A363" s="158" t="n"/>
      <c r="B363" s="158" t="n"/>
      <c r="C363" s="158" t="n"/>
      <c r="D363" s="155" t="inlineStr">
        <is>
          <t>中光電(5371)</t>
        </is>
      </c>
      <c r="E363" s="156" t="n">
        <v>132</v>
      </c>
      <c r="F363" s="156" t="n">
        <v>35</v>
      </c>
      <c r="G363" s="156" t="n">
        <v>1209</v>
      </c>
      <c r="H363" s="156" t="n">
        <v>320</v>
      </c>
      <c r="I363" s="156" t="n">
        <v>889</v>
      </c>
      <c r="J363" s="157" t="n">
        <v>91.62</v>
      </c>
      <c r="K363" s="157" t="n">
        <v>91.51000000000001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鴻勁(7769)</t>
        </is>
      </c>
      <c r="E365" s="163" t="n">
        <v>9</v>
      </c>
      <c r="F365" s="163" t="n">
        <v>4</v>
      </c>
      <c r="G365" s="163" t="n">
        <v>6272</v>
      </c>
      <c r="H365" s="163" t="n">
        <v>3001</v>
      </c>
      <c r="I365" s="163" t="n">
        <v>3271</v>
      </c>
      <c r="J365" s="164" t="n">
        <v>6969.33</v>
      </c>
      <c r="K365" s="164" t="n">
        <v>7503.25</v>
      </c>
      <c r="L365" s="220">
        <f>F365*(K365-J365)</f>
        <v/>
      </c>
    </row>
    <row r="366" ht="16.5" customHeight="1">
      <c r="A366" s="165" t="n"/>
      <c r="B366" s="165" t="n"/>
      <c r="C366" s="165" t="n"/>
      <c r="D366" s="162" t="inlineStr">
        <is>
          <t>台積電(2330)</t>
        </is>
      </c>
      <c r="E366" s="163" t="n">
        <v>24</v>
      </c>
      <c r="F366" s="163" t="n">
        <v>20</v>
      </c>
      <c r="G366" s="163" t="n">
        <v>6046</v>
      </c>
      <c r="H366" s="163" t="n">
        <v>4930</v>
      </c>
      <c r="I366" s="163" t="n">
        <v>1116</v>
      </c>
      <c r="J366" s="164" t="n">
        <v>2519.08</v>
      </c>
      <c r="K366" s="164" t="n">
        <v>2465.1</v>
      </c>
      <c r="L366" s="219">
        <f>F366*(K366-J366)</f>
        <v/>
      </c>
    </row>
    <row r="367" ht="16.5" customHeight="1">
      <c r="A367" s="165" t="n"/>
      <c r="B367" s="165" t="n"/>
      <c r="C367" s="165" t="n"/>
      <c r="D367" s="162" t="inlineStr">
        <is>
          <t>南亞科(2408)</t>
        </is>
      </c>
      <c r="E367" s="163" t="n">
        <v>138</v>
      </c>
      <c r="F367" s="163" t="n">
        <v>123</v>
      </c>
      <c r="G367" s="163" t="n">
        <v>5825</v>
      </c>
      <c r="H367" s="163" t="n">
        <v>5173</v>
      </c>
      <c r="I367" s="163" t="n">
        <v>652</v>
      </c>
      <c r="J367" s="164" t="n">
        <v>422.12</v>
      </c>
      <c r="K367" s="164" t="n">
        <v>420.59</v>
      </c>
      <c r="L367" s="219">
        <f>F367*(K367-J367)</f>
        <v/>
      </c>
    </row>
    <row r="368" ht="16.5" customHeight="1">
      <c r="A368" s="165" t="n"/>
      <c r="B368" s="165" t="n"/>
      <c r="C368" s="165" t="n"/>
      <c r="D368" s="162" t="inlineStr">
        <is>
          <t>旺矽(6223)</t>
        </is>
      </c>
      <c r="E368" s="163" t="n">
        <v>8</v>
      </c>
      <c r="F368" s="163" t="n">
        <v>2</v>
      </c>
      <c r="G368" s="163" t="n">
        <v>5298</v>
      </c>
      <c r="H368" s="163" t="n">
        <v>1472</v>
      </c>
      <c r="I368" s="163" t="n">
        <v>3826</v>
      </c>
      <c r="J368" s="164" t="n">
        <v>6622.12</v>
      </c>
      <c r="K368" s="164" t="n">
        <v>7362.5</v>
      </c>
      <c r="L368" s="220">
        <f>F368*(K368-J368)</f>
        <v/>
      </c>
    </row>
    <row r="369" ht="16.5" customHeight="1">
      <c r="A369" s="165" t="n"/>
      <c r="B369" s="165" t="n"/>
      <c r="C369" s="165" t="n"/>
      <c r="D369" s="162" t="inlineStr">
        <is>
          <t>華邦電(2344)</t>
        </is>
      </c>
      <c r="E369" s="163" t="n">
        <v>164</v>
      </c>
      <c r="F369" s="163" t="n">
        <v>88</v>
      </c>
      <c r="G369" s="163" t="n">
        <v>3210</v>
      </c>
      <c r="H369" s="163" t="n">
        <v>1702</v>
      </c>
      <c r="I369" s="163" t="n">
        <v>1508</v>
      </c>
      <c r="J369" s="164" t="n">
        <v>195.71</v>
      </c>
      <c r="K369" s="164" t="n">
        <v>193.36</v>
      </c>
      <c r="L369" s="219">
        <f>F369*(K369-J369)</f>
        <v/>
      </c>
    </row>
    <row r="370" ht="16.5" customHeight="1">
      <c r="A370" s="165" t="n"/>
      <c r="B370" s="165" t="n"/>
      <c r="C370" s="165" t="n"/>
      <c r="D370" s="162" t="inlineStr">
        <is>
          <t>辛耘(3583)</t>
        </is>
      </c>
      <c r="E370" s="163" t="n">
        <v>35</v>
      </c>
      <c r="F370" s="163" t="n">
        <v>9</v>
      </c>
      <c r="G370" s="163" t="n">
        <v>3189</v>
      </c>
      <c r="H370" s="163" t="n">
        <v>850</v>
      </c>
      <c r="I370" s="163" t="n">
        <v>2339</v>
      </c>
      <c r="J370" s="164" t="n">
        <v>911.26</v>
      </c>
      <c r="K370" s="164" t="n">
        <v>944</v>
      </c>
      <c r="L370" s="220">
        <f>F370*(K370-J370)</f>
        <v/>
      </c>
    </row>
    <row r="371" ht="16.5" customHeight="1">
      <c r="A371" s="165" t="n"/>
      <c r="B371" s="165" t="n"/>
      <c r="C371" s="165" t="n"/>
      <c r="D371" s="162" t="inlineStr">
        <is>
          <t>志聖(2467)</t>
        </is>
      </c>
      <c r="E371" s="163" t="n">
        <v>48</v>
      </c>
      <c r="F371" s="163" t="n">
        <v>15</v>
      </c>
      <c r="G371" s="163" t="n">
        <v>3043</v>
      </c>
      <c r="H371" s="163" t="n">
        <v>986</v>
      </c>
      <c r="I371" s="163" t="n">
        <v>2057</v>
      </c>
      <c r="J371" s="164" t="n">
        <v>634.02</v>
      </c>
      <c r="K371" s="164" t="n">
        <v>657.13</v>
      </c>
      <c r="L371" s="220">
        <f>F371*(K371-J371)</f>
        <v/>
      </c>
    </row>
    <row r="372" ht="16.5" customHeight="1">
      <c r="A372" s="165" t="n"/>
      <c r="B372" s="165" t="n"/>
      <c r="C372" s="165" t="n"/>
      <c r="D372" s="162" t="inlineStr">
        <is>
          <t>京鼎(3413)</t>
        </is>
      </c>
      <c r="E372" s="163" t="n">
        <v>90</v>
      </c>
      <c r="F372" s="163" t="n">
        <v>25</v>
      </c>
      <c r="G372" s="163" t="n">
        <v>3032</v>
      </c>
      <c r="H372" s="163" t="n">
        <v>839</v>
      </c>
      <c r="I372" s="163" t="n">
        <v>2193</v>
      </c>
      <c r="J372" s="164" t="n">
        <v>336.84</v>
      </c>
      <c r="K372" s="164" t="n">
        <v>335.44</v>
      </c>
      <c r="L372" s="219">
        <f>F372*(K372-J372)</f>
        <v/>
      </c>
    </row>
    <row r="373" ht="16.5" customHeight="1">
      <c r="A373" s="165" t="n"/>
      <c r="B373" s="165" t="n"/>
      <c r="C373" s="165" t="n"/>
      <c r="D373" s="162" t="inlineStr">
        <is>
          <t>祥碩(5269)</t>
        </is>
      </c>
      <c r="E373" s="163" t="n">
        <v>20</v>
      </c>
      <c r="F373" s="163" t="n">
        <v>5</v>
      </c>
      <c r="G373" s="163" t="n">
        <v>2941</v>
      </c>
      <c r="H373" s="163" t="n">
        <v>746</v>
      </c>
      <c r="I373" s="163" t="n">
        <v>2195</v>
      </c>
      <c r="J373" s="164" t="n">
        <v>1470.65</v>
      </c>
      <c r="K373" s="164" t="n">
        <v>1492</v>
      </c>
      <c r="L373" s="220">
        <f>F373*(K373-J373)</f>
        <v/>
      </c>
    </row>
    <row r="374" ht="16.5" customHeight="1">
      <c r="A374" s="165" t="n"/>
      <c r="B374" s="165" t="n"/>
      <c r="C374" s="165" t="n"/>
      <c r="D374" s="162" t="inlineStr">
        <is>
          <t>漢唐(2404)</t>
        </is>
      </c>
      <c r="E374" s="163" t="n">
        <v>19</v>
      </c>
      <c r="F374" s="163" t="n">
        <v>10</v>
      </c>
      <c r="G374" s="163" t="n">
        <v>2447</v>
      </c>
      <c r="H374" s="163" t="n">
        <v>1273</v>
      </c>
      <c r="I374" s="163" t="n">
        <v>1174</v>
      </c>
      <c r="J374" s="164" t="n">
        <v>1288.11</v>
      </c>
      <c r="K374" s="164" t="n">
        <v>1273.2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群創(3481)</t>
        </is>
      </c>
      <c r="E376" s="169" t="n">
        <v>5631</v>
      </c>
      <c r="F376" s="169" t="n">
        <v>2388</v>
      </c>
      <c r="G376" s="169" t="n">
        <v>39440</v>
      </c>
      <c r="H376" s="169" t="n">
        <v>16523</v>
      </c>
      <c r="I376" s="169" t="n">
        <v>22917</v>
      </c>
      <c r="J376" s="170" t="n">
        <v>70.04000000000001</v>
      </c>
      <c r="K376" s="170" t="n">
        <v>69.19</v>
      </c>
      <c r="L376" s="219">
        <f>F376*(K376-J376)</f>
        <v/>
      </c>
    </row>
    <row r="377" ht="16.5" customHeight="1">
      <c r="A377" s="171" t="n"/>
      <c r="B377" s="171" t="n"/>
      <c r="C377" s="171" t="n"/>
      <c r="D377" s="168" t="inlineStr">
        <is>
          <t>國巨*(2327)</t>
        </is>
      </c>
      <c r="E377" s="169" t="n">
        <v>116</v>
      </c>
      <c r="F377" s="169" t="n">
        <v>21</v>
      </c>
      <c r="G377" s="169" t="n">
        <v>13909</v>
      </c>
      <c r="H377" s="169" t="n">
        <v>2469</v>
      </c>
      <c r="I377" s="169" t="n">
        <v>11440</v>
      </c>
      <c r="J377" s="170" t="n">
        <v>1199.08</v>
      </c>
      <c r="K377" s="170" t="n">
        <v>1175.67</v>
      </c>
      <c r="L377" s="219">
        <f>F377*(K377-J377)</f>
        <v/>
      </c>
    </row>
    <row r="378" ht="16.5" customHeight="1">
      <c r="A378" s="171" t="n"/>
      <c r="B378" s="171" t="n"/>
      <c r="C378" s="171" t="n"/>
      <c r="D378" s="168" t="inlineStr">
        <is>
          <t>合晶(6182)</t>
        </is>
      </c>
      <c r="E378" s="169" t="n">
        <v>1000</v>
      </c>
      <c r="F378" s="169" t="n">
        <v>28</v>
      </c>
      <c r="G378" s="169" t="n">
        <v>13500</v>
      </c>
      <c r="H378" s="169" t="n">
        <v>378</v>
      </c>
      <c r="I378" s="169" t="n">
        <v>13122</v>
      </c>
      <c r="J378" s="170" t="n">
        <v>135</v>
      </c>
      <c r="K378" s="170" t="n">
        <v>135.04</v>
      </c>
      <c r="L378" s="220">
        <f>F378*(K378-J378)</f>
        <v/>
      </c>
    </row>
    <row r="379" ht="16.5" customHeight="1">
      <c r="A379" s="171" t="n"/>
      <c r="B379" s="171" t="n"/>
      <c r="C379" s="171" t="n"/>
      <c r="D379" s="168" t="inlineStr">
        <is>
          <t>聯發科(2454)</t>
        </is>
      </c>
      <c r="E379" s="169" t="n">
        <v>14</v>
      </c>
      <c r="F379" s="169" t="n">
        <v>1</v>
      </c>
      <c r="G379" s="169" t="n">
        <v>6248</v>
      </c>
      <c r="H379" s="169" t="n">
        <v>76</v>
      </c>
      <c r="I379" s="169" t="n">
        <v>6172</v>
      </c>
      <c r="J379" s="170" t="n">
        <v>4462.79</v>
      </c>
      <c r="K379" s="170" t="n">
        <v>757</v>
      </c>
      <c r="L379" s="219">
        <f>F379*(K379-J379)</f>
        <v/>
      </c>
    </row>
    <row r="380" ht="16.5" customHeight="1">
      <c r="A380" s="171" t="n"/>
      <c r="B380" s="171" t="n"/>
      <c r="C380" s="171" t="n"/>
      <c r="D380" s="168" t="inlineStr">
        <is>
          <t>盟立(2464)</t>
        </is>
      </c>
      <c r="E380" s="169" t="n">
        <v>251</v>
      </c>
      <c r="F380" s="169" t="n">
        <v>52</v>
      </c>
      <c r="G380" s="169" t="n">
        <v>4763</v>
      </c>
      <c r="H380" s="169" t="n">
        <v>977</v>
      </c>
      <c r="I380" s="169" t="n">
        <v>3786</v>
      </c>
      <c r="J380" s="170" t="n">
        <v>189.78</v>
      </c>
      <c r="K380" s="170" t="n">
        <v>187.83</v>
      </c>
      <c r="L380" s="219">
        <f>F380*(K380-J380)</f>
        <v/>
      </c>
    </row>
    <row r="381" ht="16.5" customHeight="1">
      <c r="A381" s="171" t="n"/>
      <c r="B381" s="171" t="n"/>
      <c r="C381" s="171" t="n"/>
      <c r="D381" s="168" t="inlineStr">
        <is>
          <t>南亞科(2408)</t>
        </is>
      </c>
      <c r="E381" s="169" t="n">
        <v>106</v>
      </c>
      <c r="F381" s="169" t="n">
        <v>81</v>
      </c>
      <c r="G381" s="169" t="n">
        <v>4550</v>
      </c>
      <c r="H381" s="169" t="n">
        <v>3489</v>
      </c>
      <c r="I381" s="169" t="n">
        <v>1061</v>
      </c>
      <c r="J381" s="170" t="n">
        <v>429.25</v>
      </c>
      <c r="K381" s="170" t="n">
        <v>430.69</v>
      </c>
      <c r="L381" s="220">
        <f>F381*(K381-J381)</f>
        <v/>
      </c>
    </row>
    <row r="382" ht="16.5" customHeight="1">
      <c r="A382" s="171" t="n"/>
      <c r="B382" s="171" t="n"/>
      <c r="C382" s="171" t="n"/>
      <c r="D382" s="168" t="inlineStr">
        <is>
          <t>奇鋐(3017)</t>
        </is>
      </c>
      <c r="E382" s="169" t="n">
        <v>15</v>
      </c>
      <c r="F382" s="169" t="n">
        <v>2</v>
      </c>
      <c r="G382" s="169" t="n">
        <v>3928</v>
      </c>
      <c r="H382" s="169" t="n">
        <v>399</v>
      </c>
      <c r="I382" s="169" t="n">
        <v>3529</v>
      </c>
      <c r="J382" s="170" t="n">
        <v>2618.73</v>
      </c>
      <c r="K382" s="170" t="n">
        <v>1995</v>
      </c>
      <c r="L382" s="219">
        <f>F382*(K382-J382)</f>
        <v/>
      </c>
    </row>
    <row r="383" ht="16.5" customHeight="1">
      <c r="A383" s="171" t="n"/>
      <c r="B383" s="171" t="n"/>
      <c r="C383" s="171" t="n"/>
      <c r="D383" s="168" t="inlineStr">
        <is>
          <t>京元電子(2449)</t>
        </is>
      </c>
      <c r="E383" s="169" t="n">
        <v>112</v>
      </c>
      <c r="F383" s="169" t="n">
        <v>56</v>
      </c>
      <c r="G383" s="169" t="n">
        <v>3832</v>
      </c>
      <c r="H383" s="169" t="n">
        <v>1859</v>
      </c>
      <c r="I383" s="169" t="n">
        <v>1973</v>
      </c>
      <c r="J383" s="170" t="n">
        <v>342.13</v>
      </c>
      <c r="K383" s="170" t="n">
        <v>332.02</v>
      </c>
      <c r="L383" s="219">
        <f>F383*(K383-J383)</f>
        <v/>
      </c>
    </row>
    <row r="384" ht="16.5" customHeight="1">
      <c r="A384" s="171" t="n"/>
      <c r="B384" s="171" t="n"/>
      <c r="C384" s="171" t="n"/>
      <c r="D384" s="168" t="inlineStr">
        <is>
          <t>仁寶(2324)</t>
        </is>
      </c>
      <c r="E384" s="169" t="n">
        <v>560</v>
      </c>
      <c r="F384" s="169" t="n">
        <v>10</v>
      </c>
      <c r="G384" s="169" t="n">
        <v>1946</v>
      </c>
      <c r="H384" s="169" t="n">
        <v>36</v>
      </c>
      <c r="I384" s="169" t="n">
        <v>1910</v>
      </c>
      <c r="J384" s="170" t="n">
        <v>34.75</v>
      </c>
      <c r="K384" s="170" t="n">
        <v>35.9</v>
      </c>
      <c r="L384" s="220">
        <f>F384*(K384-J384)</f>
        <v/>
      </c>
    </row>
    <row r="385" ht="16.5" customHeight="1">
      <c r="A385" s="171" t="n"/>
      <c r="B385" s="171" t="n"/>
      <c r="C385" s="171" t="n"/>
      <c r="D385" s="168" t="inlineStr">
        <is>
          <t>欣興(3037)</t>
        </is>
      </c>
      <c r="E385" s="169" t="n">
        <v>17</v>
      </c>
      <c r="F385" s="169" t="n">
        <v>4</v>
      </c>
      <c r="G385" s="169" t="n">
        <v>1756</v>
      </c>
      <c r="H385" s="169" t="n">
        <v>455</v>
      </c>
      <c r="I385" s="169" t="n">
        <v>1301</v>
      </c>
      <c r="J385" s="170" t="n">
        <v>1032.65</v>
      </c>
      <c r="K385" s="170" t="n">
        <v>1138.5</v>
      </c>
      <c r="L385" s="220">
        <f>F385*(K385-J385)</f>
        <v/>
      </c>
    </row>
    <row r="386" ht="16.5" customHeight="1">
      <c r="A386" s="172" t="n"/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A387" s="171" t="n"/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南亞(1303)</t>
        </is>
      </c>
      <c r="E387" s="169" t="n">
        <v>1015</v>
      </c>
      <c r="F387" s="169" t="n">
        <v>210</v>
      </c>
      <c r="G387" s="169" t="n">
        <v>18563</v>
      </c>
      <c r="H387" s="169" t="n">
        <v>3815</v>
      </c>
      <c r="I387" s="169" t="n">
        <v>14748</v>
      </c>
      <c r="J387" s="170" t="n">
        <v>182.88</v>
      </c>
      <c r="K387" s="170" t="n">
        <v>181.66</v>
      </c>
      <c r="L387" s="219">
        <f>F387*(K387-J387)</f>
        <v/>
      </c>
    </row>
    <row r="388" ht="16.5" customHeight="1">
      <c r="A388" s="171" t="n"/>
      <c r="B388" s="171" t="n"/>
      <c r="C388" s="171" t="n"/>
      <c r="D388" s="168" t="inlineStr">
        <is>
          <t>環球晶(6488)</t>
        </is>
      </c>
      <c r="E388" s="169" t="n">
        <v>123</v>
      </c>
      <c r="F388" s="169" t="n">
        <v>6</v>
      </c>
      <c r="G388" s="169" t="n">
        <v>13592</v>
      </c>
      <c r="H388" s="169" t="n">
        <v>662</v>
      </c>
      <c r="I388" s="169" t="n">
        <v>12930</v>
      </c>
      <c r="J388" s="170" t="n">
        <v>1105</v>
      </c>
      <c r="K388" s="170" t="n">
        <v>1103.67</v>
      </c>
      <c r="L388" s="219">
        <f>F388*(K388-J388)</f>
        <v/>
      </c>
    </row>
    <row r="389" ht="16.5" customHeight="1">
      <c r="A389" s="171" t="n"/>
      <c r="B389" s="171" t="n"/>
      <c r="C389" s="171" t="n"/>
      <c r="D389" s="168" t="inlineStr">
        <is>
          <t>友達(2409)</t>
        </is>
      </c>
      <c r="E389" s="169" t="n">
        <v>3756</v>
      </c>
      <c r="F389" s="169" t="n">
        <v>3336</v>
      </c>
      <c r="G389" s="169" t="n">
        <v>11912</v>
      </c>
      <c r="H389" s="169" t="n">
        <v>10483</v>
      </c>
      <c r="I389" s="169" t="n">
        <v>1429</v>
      </c>
      <c r="J389" s="170" t="n">
        <v>31.72</v>
      </c>
      <c r="K389" s="170" t="n">
        <v>31.42</v>
      </c>
      <c r="L389" s="219">
        <f>F389*(K389-J389)</f>
        <v/>
      </c>
    </row>
    <row r="390" ht="16.5" customHeight="1">
      <c r="A390" s="171" t="n"/>
      <c r="B390" s="171" t="n"/>
      <c r="C390" s="171" t="n"/>
      <c r="D390" s="168" t="inlineStr">
        <is>
          <t>南亞科(2408)</t>
        </is>
      </c>
      <c r="E390" s="169" t="n">
        <v>210</v>
      </c>
      <c r="F390" s="169" t="n">
        <v>196</v>
      </c>
      <c r="G390" s="169" t="n">
        <v>8854</v>
      </c>
      <c r="H390" s="169" t="n">
        <v>8270</v>
      </c>
      <c r="I390" s="169" t="n">
        <v>584</v>
      </c>
      <c r="J390" s="170" t="n">
        <v>421.62</v>
      </c>
      <c r="K390" s="170" t="n">
        <v>421.94</v>
      </c>
      <c r="L390" s="220">
        <f>F390*(K390-J390)</f>
        <v/>
      </c>
    </row>
    <row r="391" ht="16.5" customHeight="1">
      <c r="A391" s="171" t="n"/>
      <c r="B391" s="171" t="n"/>
      <c r="C391" s="171" t="n"/>
      <c r="D391" s="168" t="inlineStr">
        <is>
          <t>信昌電(6173)</t>
        </is>
      </c>
      <c r="E391" s="169" t="n">
        <v>251</v>
      </c>
      <c r="F391" s="169" t="n">
        <v>2</v>
      </c>
      <c r="G391" s="169" t="n">
        <v>8542</v>
      </c>
      <c r="H391" s="169" t="n">
        <v>54</v>
      </c>
      <c r="I391" s="169" t="n">
        <v>8488</v>
      </c>
      <c r="J391" s="170" t="n">
        <v>340.33</v>
      </c>
      <c r="K391" s="170" t="n">
        <v>271.5</v>
      </c>
      <c r="L391" s="219">
        <f>F391*(K391-J391)</f>
        <v/>
      </c>
    </row>
    <row r="392" ht="16.5" customHeight="1">
      <c r="A392" s="171" t="n"/>
      <c r="B392" s="171" t="n"/>
      <c r="C392" s="171" t="n"/>
      <c r="D392" s="168" t="inlineStr">
        <is>
          <t>群創(3481)</t>
        </is>
      </c>
      <c r="E392" s="169" t="n">
        <v>1087</v>
      </c>
      <c r="F392" s="169" t="n">
        <v>906</v>
      </c>
      <c r="G392" s="169" t="n">
        <v>7546</v>
      </c>
      <c r="H392" s="169" t="n">
        <v>6278</v>
      </c>
      <c r="I392" s="169" t="n">
        <v>1268</v>
      </c>
      <c r="J392" s="170" t="n">
        <v>69.42</v>
      </c>
      <c r="K392" s="170" t="n">
        <v>69.29000000000001</v>
      </c>
      <c r="L392" s="219">
        <f>F392*(K392-J392)</f>
        <v/>
      </c>
    </row>
    <row r="393" ht="16.5" customHeight="1">
      <c r="A393" s="171" t="n"/>
      <c r="B393" s="171" t="n"/>
      <c r="C393" s="171" t="n"/>
      <c r="D393" s="168" t="inlineStr">
        <is>
          <t>力積電(6770)</t>
        </is>
      </c>
      <c r="E393" s="169" t="n">
        <v>601</v>
      </c>
      <c r="F393" s="169" t="n">
        <v>547</v>
      </c>
      <c r="G393" s="169" t="n">
        <v>4501</v>
      </c>
      <c r="H393" s="169" t="n">
        <v>4085</v>
      </c>
      <c r="I393" s="169" t="n">
        <v>416</v>
      </c>
      <c r="J393" s="170" t="n">
        <v>74.89</v>
      </c>
      <c r="K393" s="170" t="n">
        <v>74.68000000000001</v>
      </c>
      <c r="L393" s="219">
        <f>F393*(K393-J393)</f>
        <v/>
      </c>
    </row>
    <row r="394" ht="16.5" customHeight="1">
      <c r="A394" s="171" t="n"/>
      <c r="B394" s="171" t="n"/>
      <c r="C394" s="171" t="n"/>
      <c r="D394" s="168" t="inlineStr">
        <is>
          <t>聯發科(2454)</t>
        </is>
      </c>
      <c r="E394" s="169" t="n">
        <v>9</v>
      </c>
      <c r="F394" s="169" t="n">
        <v>6</v>
      </c>
      <c r="G394" s="169" t="n">
        <v>3830</v>
      </c>
      <c r="H394" s="169" t="n">
        <v>2796</v>
      </c>
      <c r="I394" s="169" t="n">
        <v>1034</v>
      </c>
      <c r="J394" s="170" t="n">
        <v>4255.33</v>
      </c>
      <c r="K394" s="170" t="n">
        <v>4659.83</v>
      </c>
      <c r="L394" s="220">
        <f>F394*(K394-J394)</f>
        <v/>
      </c>
    </row>
    <row r="395" ht="16.5" customHeight="1">
      <c r="A395" s="171" t="n"/>
      <c r="B395" s="171" t="n"/>
      <c r="C395" s="171" t="n"/>
      <c r="D395" s="168" t="inlineStr">
        <is>
          <t>金像電(2368)</t>
        </is>
      </c>
      <c r="E395" s="169" t="n">
        <v>24</v>
      </c>
      <c r="F395" s="169" t="n">
        <v>5</v>
      </c>
      <c r="G395" s="169" t="n">
        <v>2957</v>
      </c>
      <c r="H395" s="169" t="n">
        <v>624</v>
      </c>
      <c r="I395" s="169" t="n">
        <v>2333</v>
      </c>
      <c r="J395" s="170" t="n">
        <v>1231.96</v>
      </c>
      <c r="K395" s="170" t="n">
        <v>1248.4</v>
      </c>
      <c r="L395" s="220">
        <f>F395*(K395-J395)</f>
        <v/>
      </c>
    </row>
    <row r="396" ht="16.5" customHeight="1">
      <c r="A396" s="171" t="n"/>
      <c r="B396" s="171" t="n"/>
      <c r="C396" s="171" t="n"/>
      <c r="D396" s="168" t="inlineStr">
        <is>
          <t>台光電(2383)</t>
        </is>
      </c>
      <c r="E396" s="169" t="n">
        <v>5</v>
      </c>
      <c r="F396" s="169" t="n">
        <v>2</v>
      </c>
      <c r="G396" s="169" t="n">
        <v>2791</v>
      </c>
      <c r="H396" s="169" t="n">
        <v>1158</v>
      </c>
      <c r="I396" s="169" t="n">
        <v>1633</v>
      </c>
      <c r="J396" s="170" t="n">
        <v>5581.6</v>
      </c>
      <c r="K396" s="170" t="n">
        <v>5787.5</v>
      </c>
      <c r="L396" s="220">
        <f>F396*(K396-J396)</f>
        <v/>
      </c>
    </row>
    <row r="397" ht="16.5" customHeight="1">
      <c r="A397" s="172" t="n"/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A398" s="171" t="n"/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台光電(2383)</t>
        </is>
      </c>
      <c r="E398" s="169" t="n">
        <v>10</v>
      </c>
      <c r="F398" s="169" t="n">
        <v>1</v>
      </c>
      <c r="G398" s="169" t="n">
        <v>5417</v>
      </c>
      <c r="H398" s="169" t="n">
        <v>69</v>
      </c>
      <c r="I398" s="169" t="n">
        <v>5348</v>
      </c>
      <c r="J398" s="170" t="n">
        <v>5416.9</v>
      </c>
      <c r="K398" s="170" t="n">
        <v>687</v>
      </c>
      <c r="L398" s="219">
        <f>F398*(K398-J398)</f>
        <v/>
      </c>
    </row>
    <row r="399" ht="16.5" customHeight="1">
      <c r="A399" s="171" t="n"/>
      <c r="B399" s="171" t="n"/>
      <c r="C399" s="171" t="n"/>
      <c r="D399" s="168" t="inlineStr">
        <is>
          <t>南亞科(2408)</t>
        </is>
      </c>
      <c r="E399" s="169" t="n">
        <v>77</v>
      </c>
      <c r="F399" s="169" t="n">
        <v>43</v>
      </c>
      <c r="G399" s="169" t="n">
        <v>3362</v>
      </c>
      <c r="H399" s="169" t="n">
        <v>1829</v>
      </c>
      <c r="I399" s="169" t="n">
        <v>1533</v>
      </c>
      <c r="J399" s="170" t="n">
        <v>436.66</v>
      </c>
      <c r="K399" s="170" t="n">
        <v>425.26</v>
      </c>
      <c r="L399" s="219">
        <f>F399*(K399-J399)</f>
        <v/>
      </c>
    </row>
    <row r="400" ht="16.5" customHeight="1">
      <c r="A400" s="171" t="n"/>
      <c r="B400" s="171" t="n"/>
      <c r="C400" s="171" t="n"/>
      <c r="D400" s="168" t="inlineStr">
        <is>
          <t>鴻海(2317)</t>
        </is>
      </c>
      <c r="E400" s="169" t="n">
        <v>128</v>
      </c>
      <c r="F400" s="169" t="n">
        <v>11</v>
      </c>
      <c r="G400" s="169" t="n">
        <v>3204</v>
      </c>
      <c r="H400" s="169" t="n">
        <v>281</v>
      </c>
      <c r="I400" s="169" t="n">
        <v>2923</v>
      </c>
      <c r="J400" s="170" t="n">
        <v>250.3</v>
      </c>
      <c r="K400" s="170" t="n">
        <v>255.09</v>
      </c>
      <c r="L400" s="220">
        <f>F400*(K400-J400)</f>
        <v/>
      </c>
    </row>
    <row r="401" ht="16.5" customHeight="1">
      <c r="A401" s="171" t="n"/>
      <c r="B401" s="171" t="n"/>
      <c r="C401" s="171" t="n"/>
      <c r="D401" s="168" t="inlineStr">
        <is>
          <t>華邦電(2344)</t>
        </is>
      </c>
      <c r="E401" s="169" t="n">
        <v>157</v>
      </c>
      <c r="F401" s="169" t="n">
        <v>86</v>
      </c>
      <c r="G401" s="169" t="n">
        <v>3084</v>
      </c>
      <c r="H401" s="169" t="n">
        <v>1665</v>
      </c>
      <c r="I401" s="169" t="n">
        <v>1419</v>
      </c>
      <c r="J401" s="170" t="n">
        <v>196.41</v>
      </c>
      <c r="K401" s="170" t="n">
        <v>193.6</v>
      </c>
      <c r="L401" s="219">
        <f>F401*(K401-J401)</f>
        <v/>
      </c>
    </row>
    <row r="402" ht="16.5" customHeight="1">
      <c r="A402" s="171" t="n"/>
      <c r="B402" s="171" t="n"/>
      <c r="C402" s="171" t="n"/>
      <c r="D402" s="168" t="inlineStr">
        <is>
          <t>雷虎(8033)</t>
        </is>
      </c>
      <c r="E402" s="169" t="n">
        <v>130</v>
      </c>
      <c r="F402" s="169" t="n">
        <v>27</v>
      </c>
      <c r="G402" s="169" t="n">
        <v>2405</v>
      </c>
      <c r="H402" s="169" t="n">
        <v>494</v>
      </c>
      <c r="I402" s="169" t="n">
        <v>1911</v>
      </c>
      <c r="J402" s="170" t="n">
        <v>185.02</v>
      </c>
      <c r="K402" s="170" t="n">
        <v>183</v>
      </c>
      <c r="L402" s="219">
        <f>F402*(K402-J402)</f>
        <v/>
      </c>
    </row>
    <row r="403" ht="16.5" customHeight="1">
      <c r="A403" s="171" t="n"/>
      <c r="B403" s="171" t="n"/>
      <c r="C403" s="171" t="n"/>
      <c r="D403" s="168" t="inlineStr">
        <is>
          <t>旺宏(2337)</t>
        </is>
      </c>
      <c r="E403" s="169" t="n">
        <v>129</v>
      </c>
      <c r="F403" s="169" t="n">
        <v>41</v>
      </c>
      <c r="G403" s="169" t="n">
        <v>1924</v>
      </c>
      <c r="H403" s="169" t="n">
        <v>605</v>
      </c>
      <c r="I403" s="169" t="n">
        <v>1319</v>
      </c>
      <c r="J403" s="170" t="n">
        <v>149.16</v>
      </c>
      <c r="K403" s="170" t="n">
        <v>147.54</v>
      </c>
      <c r="L403" s="219">
        <f>F403*(K403-J403)</f>
        <v/>
      </c>
    </row>
    <row r="404" ht="16.5" customHeight="1">
      <c r="A404" s="171" t="n"/>
      <c r="B404" s="171" t="n"/>
      <c r="C404" s="171" t="n"/>
      <c r="D404" s="168" t="inlineStr">
        <is>
          <t>力積電(6770)</t>
        </is>
      </c>
      <c r="E404" s="169" t="n">
        <v>252</v>
      </c>
      <c r="F404" s="169" t="n">
        <v>215</v>
      </c>
      <c r="G404" s="169" t="n">
        <v>1922</v>
      </c>
      <c r="H404" s="169" t="n">
        <v>1609</v>
      </c>
      <c r="I404" s="169" t="n">
        <v>313</v>
      </c>
      <c r="J404" s="170" t="n">
        <v>76.26000000000001</v>
      </c>
      <c r="K404" s="170" t="n">
        <v>74.84999999999999</v>
      </c>
      <c r="L404" s="219">
        <f>F404*(K404-J404)</f>
        <v/>
      </c>
    </row>
    <row r="405" ht="16.5" customHeight="1">
      <c r="A405" s="171" t="n"/>
      <c r="B405" s="171" t="n"/>
      <c r="C405" s="171" t="n"/>
      <c r="D405" s="168" t="inlineStr">
        <is>
          <t>京元電子(2449)</t>
        </is>
      </c>
      <c r="E405" s="169" t="n">
        <v>54</v>
      </c>
      <c r="F405" s="169" t="n">
        <v>23</v>
      </c>
      <c r="G405" s="169" t="n">
        <v>1783</v>
      </c>
      <c r="H405" s="169" t="n">
        <v>775</v>
      </c>
      <c r="I405" s="169" t="n">
        <v>1008</v>
      </c>
      <c r="J405" s="170" t="n">
        <v>330.24</v>
      </c>
      <c r="K405" s="170" t="n">
        <v>336.87</v>
      </c>
      <c r="L405" s="220">
        <f>F405*(K405-J405)</f>
        <v/>
      </c>
    </row>
    <row r="406" ht="16.5" customHeight="1">
      <c r="A406" s="171" t="n"/>
      <c r="B406" s="171" t="n"/>
      <c r="C406" s="171" t="n"/>
      <c r="D406" s="168" t="inlineStr">
        <is>
          <t>台燿(6274)</t>
        </is>
      </c>
      <c r="E406" s="169" t="n">
        <v>10</v>
      </c>
      <c r="F406" s="169" t="n">
        <v>1</v>
      </c>
      <c r="G406" s="169" t="n">
        <v>1718</v>
      </c>
      <c r="H406" s="169" t="n">
        <v>16</v>
      </c>
      <c r="I406" s="169" t="n">
        <v>1702</v>
      </c>
      <c r="J406" s="170" t="n">
        <v>1717.7</v>
      </c>
      <c r="K406" s="170" t="n">
        <v>158</v>
      </c>
      <c r="L406" s="219">
        <f>F406*(K406-J406)</f>
        <v/>
      </c>
    </row>
    <row r="407" ht="16.5" customHeight="1">
      <c r="A407" s="171" t="n"/>
      <c r="B407" s="171" t="n"/>
      <c r="C407" s="171" t="n"/>
      <c r="D407" s="168" t="inlineStr">
        <is>
          <t>欣興(3037)</t>
        </is>
      </c>
      <c r="E407" s="169" t="n">
        <v>16</v>
      </c>
      <c r="F407" s="169" t="n">
        <v>12</v>
      </c>
      <c r="G407" s="169" t="n">
        <v>1661</v>
      </c>
      <c r="H407" s="169" t="n">
        <v>1267</v>
      </c>
      <c r="I407" s="169" t="n">
        <v>394</v>
      </c>
      <c r="J407" s="170" t="n">
        <v>1038.19</v>
      </c>
      <c r="K407" s="170" t="n">
        <v>1056.17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希華(2484)</t>
        </is>
      </c>
      <c r="E409" s="176" t="n">
        <v>8063</v>
      </c>
      <c r="F409" s="176" t="n">
        <v>14</v>
      </c>
      <c r="G409" s="176" t="n">
        <v>64342</v>
      </c>
      <c r="H409" s="176" t="n">
        <v>112</v>
      </c>
      <c r="I409" s="176" t="n">
        <v>64230</v>
      </c>
      <c r="J409" s="177" t="n">
        <v>79.8</v>
      </c>
      <c r="K409" s="177" t="n">
        <v>79.79000000000001</v>
      </c>
      <c r="L409" s="219">
        <f>F409*(K409-J409)</f>
        <v/>
      </c>
    </row>
    <row r="410" ht="16.5" customHeight="1">
      <c r="A410" s="178" t="n"/>
      <c r="B410" s="178" t="n"/>
      <c r="C410" s="178" t="n"/>
      <c r="D410" s="175" t="inlineStr">
        <is>
          <t>凱美(2375)</t>
        </is>
      </c>
      <c r="E410" s="176" t="n">
        <v>1491</v>
      </c>
      <c r="F410" s="176" t="n">
        <v>908</v>
      </c>
      <c r="G410" s="176" t="n">
        <v>34661</v>
      </c>
      <c r="H410" s="176" t="n">
        <v>20851</v>
      </c>
      <c r="I410" s="176" t="n">
        <v>13810</v>
      </c>
      <c r="J410" s="177" t="n">
        <v>232.47</v>
      </c>
      <c r="K410" s="177" t="n">
        <v>229.63</v>
      </c>
      <c r="L410" s="219">
        <f>F410*(K410-J410)</f>
        <v/>
      </c>
    </row>
    <row r="411" ht="16.5" customHeight="1">
      <c r="A411" s="178" t="n"/>
      <c r="B411" s="178" t="n"/>
      <c r="C411" s="178" t="n"/>
      <c r="D411" s="175" t="inlineStr">
        <is>
          <t>蜜望實(8043)</t>
        </is>
      </c>
      <c r="E411" s="176" t="n">
        <v>966</v>
      </c>
      <c r="F411" s="176" t="n">
        <v>9</v>
      </c>
      <c r="G411" s="176" t="n">
        <v>20573</v>
      </c>
      <c r="H411" s="176" t="n">
        <v>197</v>
      </c>
      <c r="I411" s="176" t="n">
        <v>20376</v>
      </c>
      <c r="J411" s="177" t="n">
        <v>212.97</v>
      </c>
      <c r="K411" s="177" t="n">
        <v>219.11</v>
      </c>
      <c r="L411" s="220">
        <f>F411*(K411-J411)</f>
        <v/>
      </c>
    </row>
    <row r="412" ht="16.5" customHeight="1">
      <c r="A412" s="178" t="n"/>
      <c r="B412" s="178" t="n"/>
      <c r="C412" s="178" t="n"/>
      <c r="D412" s="175" t="inlineStr">
        <is>
          <t>穎崴(6515)</t>
        </is>
      </c>
      <c r="E412" s="176" t="n">
        <v>16</v>
      </c>
      <c r="F412" s="176" t="n">
        <v>1</v>
      </c>
      <c r="G412" s="176" t="n">
        <v>14616</v>
      </c>
      <c r="H412" s="176" t="n">
        <v>2</v>
      </c>
      <c r="I412" s="176" t="n">
        <v>14614</v>
      </c>
      <c r="J412" s="177" t="n">
        <v>9134.879999999999</v>
      </c>
      <c r="K412" s="177" t="n">
        <v>18</v>
      </c>
      <c r="L412" s="219">
        <f>F412*(K412-J412)</f>
        <v/>
      </c>
    </row>
    <row r="413" ht="16.5" customHeight="1">
      <c r="A413" s="178" t="n"/>
      <c r="B413" s="178" t="n"/>
      <c r="C413" s="178" t="n"/>
      <c r="D413" s="175" t="inlineStr">
        <is>
          <t>華容(5328)</t>
        </is>
      </c>
      <c r="E413" s="176" t="n">
        <v>1607</v>
      </c>
      <c r="F413" s="176" t="n">
        <v>553</v>
      </c>
      <c r="G413" s="176" t="n">
        <v>12565</v>
      </c>
      <c r="H413" s="176" t="n">
        <v>4232</v>
      </c>
      <c r="I413" s="176" t="n">
        <v>8333</v>
      </c>
      <c r="J413" s="177" t="n">
        <v>78.19</v>
      </c>
      <c r="K413" s="177" t="n">
        <v>76.52</v>
      </c>
      <c r="L413" s="219">
        <f>F413*(K413-J413)</f>
        <v/>
      </c>
    </row>
    <row r="414" ht="16.5" customHeight="1">
      <c r="A414" s="178" t="n"/>
      <c r="B414" s="178" t="n"/>
      <c r="C414" s="178" t="n"/>
      <c r="D414" s="175" t="inlineStr">
        <is>
          <t>東聯(1710)</t>
        </is>
      </c>
      <c r="E414" s="176" t="n">
        <v>4824</v>
      </c>
      <c r="F414" s="176" t="n">
        <v>12</v>
      </c>
      <c r="G414" s="176" t="n">
        <v>8876</v>
      </c>
      <c r="H414" s="176" t="n">
        <v>22</v>
      </c>
      <c r="I414" s="176" t="n">
        <v>8854</v>
      </c>
      <c r="J414" s="177" t="n">
        <v>18.4</v>
      </c>
      <c r="K414" s="177" t="n">
        <v>18.42</v>
      </c>
      <c r="L414" s="220">
        <f>F414*(K414-J414)</f>
        <v/>
      </c>
    </row>
    <row r="415" ht="16.5" customHeight="1">
      <c r="A415" s="178" t="n"/>
      <c r="B415" s="178" t="n"/>
      <c r="C415" s="178" t="n"/>
      <c r="D415" s="175" t="inlineStr">
        <is>
          <t>雷科(6207)</t>
        </is>
      </c>
      <c r="E415" s="176" t="n">
        <v>543</v>
      </c>
      <c r="F415" s="176" t="n">
        <v>9</v>
      </c>
      <c r="G415" s="176" t="n">
        <v>8742</v>
      </c>
      <c r="H415" s="176" t="n">
        <v>144</v>
      </c>
      <c r="I415" s="176" t="n">
        <v>8598</v>
      </c>
      <c r="J415" s="177" t="n">
        <v>160.99</v>
      </c>
      <c r="K415" s="177" t="n">
        <v>160.11</v>
      </c>
      <c r="L415" s="219">
        <f>F415*(K415-J415)</f>
        <v/>
      </c>
    </row>
    <row r="416" ht="16.5" customHeight="1">
      <c r="A416" s="178" t="n"/>
      <c r="B416" s="178" t="n"/>
      <c r="C416" s="178" t="n"/>
      <c r="D416" s="175" t="inlineStr">
        <is>
          <t>蔚華科(3055)</t>
        </is>
      </c>
      <c r="E416" s="176" t="n">
        <v>406</v>
      </c>
      <c r="F416" s="176" t="n">
        <v>4</v>
      </c>
      <c r="G416" s="176" t="n">
        <v>5176</v>
      </c>
      <c r="H416" s="176" t="n">
        <v>46</v>
      </c>
      <c r="I416" s="176" t="n">
        <v>5130</v>
      </c>
      <c r="J416" s="177" t="n">
        <v>127.5</v>
      </c>
      <c r="K416" s="177" t="n">
        <v>113.75</v>
      </c>
      <c r="L416" s="219">
        <f>F416*(K416-J416)</f>
        <v/>
      </c>
    </row>
    <row r="417" ht="16.5" customHeight="1">
      <c r="A417" s="178" t="n"/>
      <c r="B417" s="178" t="n"/>
      <c r="C417" s="178" t="n"/>
      <c r="D417" s="175" t="inlineStr">
        <is>
          <t>事欣科(4916)</t>
        </is>
      </c>
      <c r="E417" s="176" t="n">
        <v>164</v>
      </c>
      <c r="F417" s="176" t="n">
        <v>13</v>
      </c>
      <c r="G417" s="176" t="n">
        <v>1843</v>
      </c>
      <c r="H417" s="176" t="n">
        <v>139</v>
      </c>
      <c r="I417" s="176" t="n">
        <v>1704</v>
      </c>
      <c r="J417" s="177" t="n">
        <v>112.4</v>
      </c>
      <c r="K417" s="177" t="n">
        <v>106.69</v>
      </c>
      <c r="L417" s="219">
        <f>F417*(K417-J417)</f>
        <v/>
      </c>
    </row>
    <row r="418" ht="16.5" customHeight="1">
      <c r="A418" s="178" t="n"/>
      <c r="B418" s="178" t="n"/>
      <c r="C418" s="178" t="n"/>
      <c r="D418" s="175" t="inlineStr">
        <is>
          <t>振發(5426)</t>
        </is>
      </c>
      <c r="E418" s="176" t="n">
        <v>466</v>
      </c>
      <c r="F418" s="176" t="n">
        <v>18</v>
      </c>
      <c r="G418" s="176" t="n">
        <v>1600</v>
      </c>
      <c r="H418" s="176" t="n">
        <v>60</v>
      </c>
      <c r="I418" s="176" t="n">
        <v>1540</v>
      </c>
      <c r="J418" s="177" t="n">
        <v>34.33</v>
      </c>
      <c r="K418" s="177" t="n">
        <v>33.44</v>
      </c>
      <c r="L418" s="219">
        <f>F418*(K418-J418)</f>
        <v/>
      </c>
    </row>
    <row r="419" ht="16.5" customHeight="1">
      <c r="A419" s="179" t="n"/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A420" s="178" t="n"/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盟立(2464)</t>
        </is>
      </c>
      <c r="E420" s="176" t="n">
        <v>275</v>
      </c>
      <c r="F420" s="176" t="n">
        <v>23</v>
      </c>
      <c r="G420" s="176" t="n">
        <v>5097</v>
      </c>
      <c r="H420" s="176" t="n">
        <v>434</v>
      </c>
      <c r="I420" s="176" t="n">
        <v>4663</v>
      </c>
      <c r="J420" s="177" t="n">
        <v>185.33</v>
      </c>
      <c r="K420" s="177" t="n">
        <v>188.83</v>
      </c>
      <c r="L420" s="220">
        <f>F420*(K420-J420)</f>
        <v/>
      </c>
    </row>
    <row r="421" ht="16.5" customHeight="1">
      <c r="A421" s="178" t="n"/>
      <c r="B421" s="178" t="n"/>
      <c r="C421" s="178" t="n"/>
      <c r="D421" s="175" t="inlineStr">
        <is>
          <t>牧德(3563)</t>
        </is>
      </c>
      <c r="E421" s="176" t="n">
        <v>60</v>
      </c>
      <c r="F421" s="176" t="n">
        <v>1</v>
      </c>
      <c r="G421" s="176" t="n">
        <v>4668</v>
      </c>
      <c r="H421" s="176" t="n">
        <v>16</v>
      </c>
      <c r="I421" s="176" t="n">
        <v>4652</v>
      </c>
      <c r="J421" s="177" t="n">
        <v>778</v>
      </c>
      <c r="K421" s="177" t="n">
        <v>156</v>
      </c>
      <c r="L421" s="219">
        <f>F421*(K421-J421)</f>
        <v/>
      </c>
    </row>
    <row r="422" ht="16.5" customHeight="1">
      <c r="A422" s="178" t="n"/>
      <c r="B422" s="178" t="n"/>
      <c r="C422" s="178" t="n"/>
      <c r="D422" s="175" t="inlineStr">
        <is>
          <t>家登(3680)</t>
        </is>
      </c>
      <c r="E422" s="176" t="n">
        <v>41</v>
      </c>
      <c r="F422" s="176" t="n">
        <v>8</v>
      </c>
      <c r="G422" s="176" t="n">
        <v>2288</v>
      </c>
      <c r="H422" s="176" t="n">
        <v>458</v>
      </c>
      <c r="I422" s="176" t="n">
        <v>1830</v>
      </c>
      <c r="J422" s="177" t="n">
        <v>558.17</v>
      </c>
      <c r="K422" s="177" t="n">
        <v>572.75</v>
      </c>
      <c r="L422" s="220">
        <f>F422*(K422-J422)</f>
        <v/>
      </c>
    </row>
    <row r="423" ht="16.5" customHeight="1">
      <c r="A423" s="178" t="n"/>
      <c r="B423" s="178" t="n"/>
      <c r="C423" s="178" t="n"/>
      <c r="D423" s="175" t="inlineStr">
        <is>
          <t>力智(6719)</t>
        </is>
      </c>
      <c r="E423" s="176" t="n">
        <v>61</v>
      </c>
      <c r="F423" s="176" t="n">
        <v>4</v>
      </c>
      <c r="G423" s="176" t="n">
        <v>1812</v>
      </c>
      <c r="H423" s="176" t="n">
        <v>110</v>
      </c>
      <c r="I423" s="176" t="n">
        <v>1702</v>
      </c>
      <c r="J423" s="177" t="n">
        <v>297.07</v>
      </c>
      <c r="K423" s="177" t="n">
        <v>274.75</v>
      </c>
      <c r="L423" s="219">
        <f>F423*(K423-J423)</f>
        <v/>
      </c>
    </row>
    <row r="424" ht="16.5" customHeight="1">
      <c r="A424" s="178" t="n"/>
      <c r="B424" s="178" t="n"/>
      <c r="C424" s="178" t="n"/>
      <c r="D424" s="175" t="inlineStr">
        <is>
          <t>蜜望實(8043)</t>
        </is>
      </c>
      <c r="E424" s="176" t="n">
        <v>61</v>
      </c>
      <c r="F424" s="176" t="n">
        <v>31</v>
      </c>
      <c r="G424" s="176" t="n">
        <v>1308</v>
      </c>
      <c r="H424" s="176" t="n">
        <v>654</v>
      </c>
      <c r="I424" s="176" t="n">
        <v>654</v>
      </c>
      <c r="J424" s="177" t="n">
        <v>214.44</v>
      </c>
      <c r="K424" s="177" t="n">
        <v>211.1</v>
      </c>
      <c r="L424" s="219">
        <f>F424*(K424-J424)</f>
        <v/>
      </c>
    </row>
    <row r="425" ht="16.5" customHeight="1">
      <c r="A425" s="178" t="n"/>
      <c r="B425" s="178" t="n"/>
      <c r="C425" s="178" t="n"/>
      <c r="D425" s="180" t="inlineStr">
        <is>
          <t>⚪ 今日漲停僅 5 檔</t>
        </is>
      </c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A426" s="178" t="n"/>
      <c r="B426" s="178" t="n"/>
      <c r="C426" s="178" t="n"/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A427" s="178" t="n"/>
      <c r="B427" s="178" t="n"/>
      <c r="C427" s="178" t="n"/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A428" s="178" t="n"/>
      <c r="B428" s="178" t="n"/>
      <c r="C428" s="178" t="n"/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A429" s="178" t="n"/>
      <c r="B429" s="178" t="n"/>
      <c r="C429" s="178" t="n"/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景碩(3189)</t>
        </is>
      </c>
      <c r="E431" s="185" t="n">
        <v>139</v>
      </c>
      <c r="F431" s="185" t="n">
        <v>86</v>
      </c>
      <c r="G431" s="185" t="n">
        <v>12710</v>
      </c>
      <c r="H431" s="185" t="n">
        <v>7691</v>
      </c>
      <c r="I431" s="185" t="n">
        <v>5019</v>
      </c>
      <c r="J431" s="186" t="n">
        <v>914.42</v>
      </c>
      <c r="K431" s="186" t="n">
        <v>894.3</v>
      </c>
      <c r="L431" s="219">
        <f>F431*(K431-J431)</f>
        <v/>
      </c>
    </row>
    <row r="432" ht="16.5" customHeight="1">
      <c r="A432" s="187" t="n"/>
      <c r="B432" s="187" t="n"/>
      <c r="C432" s="187" t="n"/>
      <c r="D432" s="184" t="inlineStr">
        <is>
          <t>國巨*(2327)</t>
        </is>
      </c>
      <c r="E432" s="185" t="n">
        <v>79</v>
      </c>
      <c r="F432" s="185" t="n">
        <v>73</v>
      </c>
      <c r="G432" s="185" t="n">
        <v>9022</v>
      </c>
      <c r="H432" s="185" t="n">
        <v>8308</v>
      </c>
      <c r="I432" s="185" t="n">
        <v>714</v>
      </c>
      <c r="J432" s="186" t="n">
        <v>1141.97</v>
      </c>
      <c r="K432" s="186" t="n">
        <v>1138.1</v>
      </c>
      <c r="L432" s="219">
        <f>F432*(K432-J432)</f>
        <v/>
      </c>
    </row>
    <row r="433" ht="16.5" customHeight="1">
      <c r="A433" s="187" t="n"/>
      <c r="B433" s="187" t="n"/>
      <c r="C433" s="187" t="n"/>
      <c r="D433" s="184" t="inlineStr">
        <is>
          <t>臻鼎-KY(4958)</t>
        </is>
      </c>
      <c r="E433" s="185" t="n">
        <v>131</v>
      </c>
      <c r="F433" s="185" t="n">
        <v>105</v>
      </c>
      <c r="G433" s="185" t="n">
        <v>7925</v>
      </c>
      <c r="H433" s="185" t="n">
        <v>6322</v>
      </c>
      <c r="I433" s="185" t="n">
        <v>1603</v>
      </c>
      <c r="J433" s="186" t="n">
        <v>604.99</v>
      </c>
      <c r="K433" s="186" t="n">
        <v>602.09</v>
      </c>
      <c r="L433" s="219">
        <f>F433*(K433-J433)</f>
        <v/>
      </c>
    </row>
    <row r="434" ht="16.5" customHeight="1">
      <c r="A434" s="187" t="n"/>
      <c r="B434" s="187" t="n"/>
      <c r="C434" s="187" t="n"/>
      <c r="D434" s="184" t="inlineStr">
        <is>
          <t>華邦電(2344)</t>
        </is>
      </c>
      <c r="E434" s="185" t="n">
        <v>329</v>
      </c>
      <c r="F434" s="185" t="n">
        <v>286</v>
      </c>
      <c r="G434" s="185" t="n">
        <v>6250</v>
      </c>
      <c r="H434" s="185" t="n">
        <v>5436</v>
      </c>
      <c r="I434" s="185" t="n">
        <v>814</v>
      </c>
      <c r="J434" s="186" t="n">
        <v>189.97</v>
      </c>
      <c r="K434" s="186" t="n">
        <v>190.07</v>
      </c>
      <c r="L434" s="220">
        <f>F434*(K434-J434)</f>
        <v/>
      </c>
    </row>
    <row r="435" ht="16.5" customHeight="1">
      <c r="A435" s="187" t="n"/>
      <c r="B435" s="187" t="n"/>
      <c r="C435" s="187" t="n"/>
      <c r="D435" s="184" t="inlineStr">
        <is>
          <t>南亞科(2408)</t>
        </is>
      </c>
      <c r="E435" s="185" t="n">
        <v>137</v>
      </c>
      <c r="F435" s="185" t="n">
        <v>116</v>
      </c>
      <c r="G435" s="185" t="n">
        <v>5787</v>
      </c>
      <c r="H435" s="185" t="n">
        <v>4885</v>
      </c>
      <c r="I435" s="185" t="n">
        <v>902</v>
      </c>
      <c r="J435" s="186" t="n">
        <v>422.43</v>
      </c>
      <c r="K435" s="186" t="n">
        <v>421.1</v>
      </c>
      <c r="L435" s="219">
        <f>F435*(K435-J435)</f>
        <v/>
      </c>
    </row>
    <row r="436" ht="16.5" customHeight="1">
      <c r="A436" s="187" t="n"/>
      <c r="B436" s="187" t="n"/>
      <c r="C436" s="187" t="n"/>
      <c r="D436" s="184" t="inlineStr">
        <is>
          <t>亞泥(1102)</t>
        </is>
      </c>
      <c r="E436" s="185" t="n">
        <v>1589</v>
      </c>
      <c r="F436" s="185" t="n">
        <v>1467</v>
      </c>
      <c r="G436" s="185" t="n">
        <v>5577</v>
      </c>
      <c r="H436" s="185" t="n">
        <v>5149</v>
      </c>
      <c r="I436" s="185" t="n">
        <v>428</v>
      </c>
      <c r="J436" s="186" t="n">
        <v>35.1</v>
      </c>
      <c r="K436" s="186" t="n">
        <v>35.1</v>
      </c>
      <c r="L436" s="220">
        <f>F436*(K436-J436)</f>
        <v/>
      </c>
    </row>
    <row r="437" ht="16.5" customHeight="1">
      <c r="A437" s="187" t="n"/>
      <c r="B437" s="187" t="n"/>
      <c r="C437" s="187" t="n"/>
      <c r="D437" s="184" t="inlineStr">
        <is>
          <t>文曄(3036)</t>
        </is>
      </c>
      <c r="E437" s="185" t="n">
        <v>259</v>
      </c>
      <c r="F437" s="185" t="n">
        <v>6</v>
      </c>
      <c r="G437" s="185" t="n">
        <v>5475</v>
      </c>
      <c r="H437" s="185" t="n">
        <v>129</v>
      </c>
      <c r="I437" s="185" t="n">
        <v>5346</v>
      </c>
      <c r="J437" s="186" t="n">
        <v>211.4</v>
      </c>
      <c r="K437" s="186" t="n">
        <v>214.67</v>
      </c>
      <c r="L437" s="220">
        <f>F437*(K437-J437)</f>
        <v/>
      </c>
    </row>
    <row r="438" ht="16.5" customHeight="1">
      <c r="A438" s="187" t="n"/>
      <c r="B438" s="187" t="n"/>
      <c r="C438" s="187" t="n"/>
      <c r="D438" s="184" t="inlineStr">
        <is>
          <t>友達(2409)</t>
        </is>
      </c>
      <c r="E438" s="185" t="n">
        <v>1607</v>
      </c>
      <c r="F438" s="185" t="n">
        <v>1553</v>
      </c>
      <c r="G438" s="185" t="n">
        <v>4926</v>
      </c>
      <c r="H438" s="185" t="n">
        <v>4760</v>
      </c>
      <c r="I438" s="185" t="n">
        <v>166</v>
      </c>
      <c r="J438" s="186" t="n">
        <v>30.65</v>
      </c>
      <c r="K438" s="186" t="n">
        <v>30.65</v>
      </c>
      <c r="L438" s="220">
        <f>F438*(K438-J438)</f>
        <v/>
      </c>
    </row>
    <row r="439" ht="16.5" customHeight="1">
      <c r="A439" s="187" t="n"/>
      <c r="B439" s="187" t="n"/>
      <c r="C439" s="187" t="n"/>
      <c r="D439" s="184" t="inlineStr">
        <is>
          <t>京元電子(2449)</t>
        </is>
      </c>
      <c r="E439" s="185" t="n">
        <v>126</v>
      </c>
      <c r="F439" s="185" t="n">
        <v>90</v>
      </c>
      <c r="G439" s="185" t="n">
        <v>4181</v>
      </c>
      <c r="H439" s="185" t="n">
        <v>2969</v>
      </c>
      <c r="I439" s="185" t="n">
        <v>1212</v>
      </c>
      <c r="J439" s="186" t="n">
        <v>331.83</v>
      </c>
      <c r="K439" s="186" t="n">
        <v>329.84</v>
      </c>
      <c r="L439" s="219">
        <f>F439*(K439-J439)</f>
        <v/>
      </c>
    </row>
    <row r="440" ht="16.5" customHeight="1">
      <c r="A440" s="187" t="n"/>
      <c r="B440" s="187" t="n"/>
      <c r="C440" s="187" t="n"/>
      <c r="D440" s="184" t="inlineStr">
        <is>
          <t>台燿(6274)</t>
        </is>
      </c>
      <c r="E440" s="185" t="n">
        <v>20</v>
      </c>
      <c r="F440" s="185" t="n">
        <v>11</v>
      </c>
      <c r="G440" s="185" t="n">
        <v>3413</v>
      </c>
      <c r="H440" s="185" t="n">
        <v>1851</v>
      </c>
      <c r="I440" s="185" t="n">
        <v>1562</v>
      </c>
      <c r="J440" s="186" t="n">
        <v>1706.5</v>
      </c>
      <c r="K440" s="186" t="n">
        <v>1682.55</v>
      </c>
      <c r="L440" s="219">
        <f>F440*(K440-J440)</f>
        <v/>
      </c>
    </row>
    <row r="441" ht="16.5" customHeight="1">
      <c r="A441" s="187" t="n"/>
      <c r="B441" s="187" t="n"/>
      <c r="C441" s="187" t="n"/>
      <c r="D441" s="184" t="inlineStr">
        <is>
          <t>台玻(1802)</t>
        </is>
      </c>
      <c r="E441" s="185" t="n">
        <v>455</v>
      </c>
      <c r="F441" s="185" t="n">
        <v>331</v>
      </c>
      <c r="G441" s="185" t="n">
        <v>3336</v>
      </c>
      <c r="H441" s="185" t="n">
        <v>2443</v>
      </c>
      <c r="I441" s="185" t="n">
        <v>893</v>
      </c>
      <c r="J441" s="186" t="n">
        <v>73.33</v>
      </c>
      <c r="K441" s="186" t="n">
        <v>73.81</v>
      </c>
      <c r="L441" s="220">
        <f>F441*(K441-J441)</f>
        <v/>
      </c>
    </row>
    <row r="442" ht="16.5" customHeight="1">
      <c r="A442" s="187" t="n"/>
      <c r="B442" s="187" t="n"/>
      <c r="C442" s="187" t="n"/>
      <c r="D442" s="184" t="inlineStr">
        <is>
          <t>力積電(6770)</t>
        </is>
      </c>
      <c r="E442" s="185" t="n">
        <v>347</v>
      </c>
      <c r="F442" s="185" t="n">
        <v>284</v>
      </c>
      <c r="G442" s="185" t="n">
        <v>2578</v>
      </c>
      <c r="H442" s="185" t="n">
        <v>2110</v>
      </c>
      <c r="I442" s="185" t="n">
        <v>468</v>
      </c>
      <c r="J442" s="186" t="n">
        <v>74.3</v>
      </c>
      <c r="K442" s="186" t="n">
        <v>74.3</v>
      </c>
      <c r="L442" s="220">
        <f>F442*(K442-J442)</f>
        <v/>
      </c>
    </row>
    <row r="443" ht="16.5" customHeight="1">
      <c r="A443" s="187" t="n"/>
      <c r="B443" s="187" t="n"/>
      <c r="C443" s="187" t="n"/>
      <c r="D443" s="184" t="inlineStr">
        <is>
          <t>光聖(6442)</t>
        </is>
      </c>
      <c r="E443" s="185" t="n">
        <v>16</v>
      </c>
      <c r="F443" s="185" t="n">
        <v>7</v>
      </c>
      <c r="G443" s="185" t="n">
        <v>2478</v>
      </c>
      <c r="H443" s="185" t="n">
        <v>1025</v>
      </c>
      <c r="I443" s="185" t="n">
        <v>1453</v>
      </c>
      <c r="J443" s="186" t="n">
        <v>1548.69</v>
      </c>
      <c r="K443" s="186" t="n">
        <v>1463.86</v>
      </c>
      <c r="L443" s="219">
        <f>F443*(K443-J443)</f>
        <v/>
      </c>
    </row>
    <row r="444" ht="16.5" customHeight="1">
      <c r="A444" s="187" t="n"/>
      <c r="B444" s="187" t="n"/>
      <c r="C444" s="187" t="n"/>
      <c r="D444" s="184" t="inlineStr">
        <is>
          <t>鴻海(2317)</t>
        </is>
      </c>
      <c r="E444" s="185" t="n">
        <v>88</v>
      </c>
      <c r="F444" s="185" t="n">
        <v>57</v>
      </c>
      <c r="G444" s="185" t="n">
        <v>2185</v>
      </c>
      <c r="H444" s="185" t="n">
        <v>1420</v>
      </c>
      <c r="I444" s="185" t="n">
        <v>765</v>
      </c>
      <c r="J444" s="186" t="n">
        <v>248.33</v>
      </c>
      <c r="K444" s="186" t="n">
        <v>249.07</v>
      </c>
      <c r="L444" s="220">
        <f>F444*(K444-J444)</f>
        <v/>
      </c>
    </row>
    <row r="445" ht="16.5" customHeight="1">
      <c r="A445" s="187" t="n"/>
      <c r="B445" s="187" t="n"/>
      <c r="C445" s="187" t="n"/>
      <c r="D445" s="184" t="inlineStr">
        <is>
          <t>群聯(8299)</t>
        </is>
      </c>
      <c r="E445" s="185" t="n">
        <v>9</v>
      </c>
      <c r="F445" s="185" t="n">
        <v>7</v>
      </c>
      <c r="G445" s="185" t="n">
        <v>2138</v>
      </c>
      <c r="H445" s="185" t="n">
        <v>1610</v>
      </c>
      <c r="I445" s="185" t="n">
        <v>528</v>
      </c>
      <c r="J445" s="186" t="n">
        <v>2375.67</v>
      </c>
      <c r="K445" s="186" t="n">
        <v>2300.71</v>
      </c>
      <c r="L445" s="219">
        <f>F445*(K445-J445)</f>
        <v/>
      </c>
    </row>
    <row r="446" ht="16.5" customHeight="1">
      <c r="A446" s="187" t="n"/>
      <c r="B446" s="187" t="n"/>
      <c r="C446" s="187" t="n"/>
      <c r="D446" s="184" t="inlineStr">
        <is>
          <t>頎邦(6147)</t>
        </is>
      </c>
      <c r="E446" s="185" t="n">
        <v>75</v>
      </c>
      <c r="F446" s="185" t="n">
        <v>45</v>
      </c>
      <c r="G446" s="185" t="n">
        <v>1651</v>
      </c>
      <c r="H446" s="185" t="n">
        <v>981</v>
      </c>
      <c r="I446" s="185" t="n">
        <v>670</v>
      </c>
      <c r="J446" s="186" t="n">
        <v>220.17</v>
      </c>
      <c r="K446" s="186" t="n">
        <v>217.93</v>
      </c>
      <c r="L446" s="219">
        <f>F446*(K446-J446)</f>
        <v/>
      </c>
    </row>
    <row r="447" ht="16.5" customHeight="1">
      <c r="A447" s="187" t="n"/>
      <c r="B447" s="187" t="n"/>
      <c r="C447" s="187" t="n"/>
      <c r="D447" s="184" t="inlineStr">
        <is>
          <t>騰輝電子-KY(6672)</t>
        </is>
      </c>
      <c r="E447" s="185" t="n">
        <v>55</v>
      </c>
      <c r="F447" s="185" t="n">
        <v>6</v>
      </c>
      <c r="G447" s="185" t="n">
        <v>1597</v>
      </c>
      <c r="H447" s="185" t="n">
        <v>184</v>
      </c>
      <c r="I447" s="185" t="n">
        <v>1413</v>
      </c>
      <c r="J447" s="186" t="n">
        <v>290.38</v>
      </c>
      <c r="K447" s="186" t="n">
        <v>307.33</v>
      </c>
      <c r="L447" s="220">
        <f>F447*(K447-J447)</f>
        <v/>
      </c>
    </row>
    <row r="448" ht="16.5" customHeight="1">
      <c r="A448" s="187" t="n"/>
      <c r="B448" s="187" t="n"/>
      <c r="C448" s="187" t="n"/>
      <c r="D448" s="184" t="inlineStr">
        <is>
          <t>鴻勁(7769)</t>
        </is>
      </c>
      <c r="E448" s="185" t="n">
        <v>2</v>
      </c>
      <c r="F448" s="185" t="n">
        <v>1</v>
      </c>
      <c r="G448" s="185" t="n">
        <v>1550</v>
      </c>
      <c r="H448" s="185" t="n">
        <v>961</v>
      </c>
      <c r="I448" s="185" t="n">
        <v>589</v>
      </c>
      <c r="J448" s="186" t="n">
        <v>7751</v>
      </c>
      <c r="K448" s="186" t="n">
        <v>9606</v>
      </c>
      <c r="L448" s="220">
        <f>F448*(K448-J448)</f>
        <v/>
      </c>
    </row>
    <row r="449" ht="16.5" customHeight="1">
      <c r="A449" s="187" t="n"/>
      <c r="B449" s="187" t="n"/>
      <c r="C449" s="187" t="n"/>
      <c r="D449" s="184" t="inlineStr">
        <is>
          <t>漢唐(2404)</t>
        </is>
      </c>
      <c r="E449" s="185" t="n">
        <v>11</v>
      </c>
      <c r="F449" s="185" t="n">
        <v>4</v>
      </c>
      <c r="G449" s="185" t="n">
        <v>1491</v>
      </c>
      <c r="H449" s="185" t="n">
        <v>561</v>
      </c>
      <c r="I449" s="185" t="n">
        <v>930</v>
      </c>
      <c r="J449" s="186" t="n">
        <v>1355.64</v>
      </c>
      <c r="K449" s="186" t="n">
        <v>1402</v>
      </c>
      <c r="L449" s="220">
        <f>F449*(K449-J449)</f>
        <v/>
      </c>
    </row>
    <row r="450" ht="16.5" customHeight="1">
      <c r="A450" s="187" t="n"/>
      <c r="B450" s="187" t="n"/>
      <c r="C450" s="187" t="n"/>
      <c r="D450" s="184" t="inlineStr">
        <is>
          <t>竹陞科技(6739)</t>
        </is>
      </c>
      <c r="E450" s="185" t="n">
        <v>13</v>
      </c>
      <c r="F450" s="185" t="n">
        <v>6</v>
      </c>
      <c r="G450" s="185" t="n">
        <v>1406</v>
      </c>
      <c r="H450" s="185" t="n">
        <v>669</v>
      </c>
      <c r="I450" s="185" t="n">
        <v>737</v>
      </c>
      <c r="J450" s="186" t="n">
        <v>1081.23</v>
      </c>
      <c r="K450" s="186" t="n">
        <v>1114.5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精材(3374)</t>
        </is>
      </c>
      <c r="E452" s="191" t="n">
        <v>155</v>
      </c>
      <c r="F452" s="191" t="n">
        <v>25</v>
      </c>
      <c r="G452" s="191" t="n">
        <v>4598</v>
      </c>
      <c r="H452" s="191" t="n">
        <v>768</v>
      </c>
      <c r="I452" s="191" t="n">
        <v>3830</v>
      </c>
      <c r="J452" s="192" t="n">
        <v>296.66</v>
      </c>
      <c r="K452" s="192" t="n">
        <v>307.2</v>
      </c>
      <c r="L452" s="220">
        <f>F452*(K452-J452)</f>
        <v/>
      </c>
    </row>
    <row r="453" ht="16.5" customHeight="1">
      <c r="A453" s="193" t="n"/>
      <c r="B453" s="193" t="n"/>
      <c r="C453" s="193" t="n"/>
      <c r="D453" s="190" t="inlineStr">
        <is>
          <t>友達(2409)</t>
        </is>
      </c>
      <c r="E453" s="191" t="n">
        <v>1374</v>
      </c>
      <c r="F453" s="191" t="n">
        <v>799</v>
      </c>
      <c r="G453" s="191" t="n">
        <v>4528</v>
      </c>
      <c r="H453" s="191" t="n">
        <v>2492</v>
      </c>
      <c r="I453" s="191" t="n">
        <v>2036</v>
      </c>
      <c r="J453" s="192" t="n">
        <v>32.96</v>
      </c>
      <c r="K453" s="192" t="n">
        <v>31.19</v>
      </c>
      <c r="L453" s="219">
        <f>F453*(K453-J453)</f>
        <v/>
      </c>
    </row>
    <row r="454" ht="16.5" customHeight="1">
      <c r="A454" s="193" t="n"/>
      <c r="B454" s="193" t="n"/>
      <c r="C454" s="193" t="n"/>
      <c r="D454" s="190" t="inlineStr">
        <is>
          <t>華邦電(2344)</t>
        </is>
      </c>
      <c r="E454" s="191" t="n">
        <v>218</v>
      </c>
      <c r="F454" s="191" t="n">
        <v>159</v>
      </c>
      <c r="G454" s="191" t="n">
        <v>4283</v>
      </c>
      <c r="H454" s="191" t="n">
        <v>3089</v>
      </c>
      <c r="I454" s="191" t="n">
        <v>1194</v>
      </c>
      <c r="J454" s="192" t="n">
        <v>196.45</v>
      </c>
      <c r="K454" s="192" t="n">
        <v>194.25</v>
      </c>
      <c r="L454" s="219">
        <f>F454*(K454-J454)</f>
        <v/>
      </c>
    </row>
    <row r="455" ht="16.5" customHeight="1">
      <c r="A455" s="193" t="n"/>
      <c r="B455" s="193" t="n"/>
      <c r="C455" s="193" t="n"/>
      <c r="D455" s="190" t="inlineStr">
        <is>
          <t>南亞科(2408)</t>
        </is>
      </c>
      <c r="E455" s="191" t="n">
        <v>77</v>
      </c>
      <c r="F455" s="191" t="n">
        <v>13</v>
      </c>
      <c r="G455" s="191" t="n">
        <v>3318</v>
      </c>
      <c r="H455" s="191" t="n">
        <v>558</v>
      </c>
      <c r="I455" s="191" t="n">
        <v>2760</v>
      </c>
      <c r="J455" s="192" t="n">
        <v>430.96</v>
      </c>
      <c r="K455" s="192" t="n">
        <v>429.15</v>
      </c>
      <c r="L455" s="219">
        <f>F455*(K455-J455)</f>
        <v/>
      </c>
    </row>
    <row r="456" ht="16.5" customHeight="1">
      <c r="A456" s="193" t="n"/>
      <c r="B456" s="193" t="n"/>
      <c r="C456" s="193" t="n"/>
      <c r="D456" s="190" t="inlineStr">
        <is>
          <t>神達(3706)</t>
        </is>
      </c>
      <c r="E456" s="191" t="n">
        <v>334</v>
      </c>
      <c r="F456" s="191" t="n">
        <v>63</v>
      </c>
      <c r="G456" s="191" t="n">
        <v>3124</v>
      </c>
      <c r="H456" s="191" t="n">
        <v>580</v>
      </c>
      <c r="I456" s="191" t="n">
        <v>2544</v>
      </c>
      <c r="J456" s="192" t="n">
        <v>93.53</v>
      </c>
      <c r="K456" s="192" t="n">
        <v>92.13</v>
      </c>
      <c r="L456" s="219">
        <f>F456*(K456-J456)</f>
        <v/>
      </c>
    </row>
    <row r="457" ht="16.5" customHeight="1">
      <c r="A457" s="193" t="n"/>
      <c r="B457" s="193" t="n"/>
      <c r="C457" s="193" t="n"/>
      <c r="D457" s="190" t="inlineStr">
        <is>
          <t>富喬(1815)</t>
        </is>
      </c>
      <c r="E457" s="191" t="n">
        <v>258</v>
      </c>
      <c r="F457" s="191" t="n">
        <v>151</v>
      </c>
      <c r="G457" s="191" t="n">
        <v>2918</v>
      </c>
      <c r="H457" s="191" t="n">
        <v>1637</v>
      </c>
      <c r="I457" s="191" t="n">
        <v>1281</v>
      </c>
      <c r="J457" s="192" t="n">
        <v>113.08</v>
      </c>
      <c r="K457" s="192" t="n">
        <v>108.44</v>
      </c>
      <c r="L457" s="219">
        <f>F457*(K457-J457)</f>
        <v/>
      </c>
    </row>
    <row r="458" ht="16.5" customHeight="1">
      <c r="A458" s="193" t="n"/>
      <c r="B458" s="193" t="n"/>
      <c r="C458" s="193" t="n"/>
      <c r="D458" s="190" t="inlineStr">
        <is>
          <t>國巨*(2327)</t>
        </is>
      </c>
      <c r="E458" s="191" t="n">
        <v>25</v>
      </c>
      <c r="F458" s="191" t="n">
        <v>13</v>
      </c>
      <c r="G458" s="191" t="n">
        <v>2811</v>
      </c>
      <c r="H458" s="191" t="n">
        <v>1457</v>
      </c>
      <c r="I458" s="191" t="n">
        <v>1354</v>
      </c>
      <c r="J458" s="192" t="n">
        <v>1124.36</v>
      </c>
      <c r="K458" s="192" t="n">
        <v>1121.08</v>
      </c>
      <c r="L458" s="219">
        <f>F458*(K458-J458)</f>
        <v/>
      </c>
    </row>
    <row r="459" ht="16.5" customHeight="1">
      <c r="A459" s="193" t="n"/>
      <c r="B459" s="193" t="n"/>
      <c r="C459" s="193" t="n"/>
      <c r="D459" s="190" t="inlineStr">
        <is>
          <t>景碩(3189)</t>
        </is>
      </c>
      <c r="E459" s="191" t="n">
        <v>31</v>
      </c>
      <c r="F459" s="191" t="n">
        <v>23</v>
      </c>
      <c r="G459" s="191" t="n">
        <v>2735</v>
      </c>
      <c r="H459" s="191" t="n">
        <v>2026</v>
      </c>
      <c r="I459" s="191" t="n">
        <v>709</v>
      </c>
      <c r="J459" s="192" t="n">
        <v>882.1900000000001</v>
      </c>
      <c r="K459" s="192" t="n">
        <v>880.7</v>
      </c>
      <c r="L459" s="219">
        <f>F459*(K459-J459)</f>
        <v/>
      </c>
    </row>
    <row r="460" ht="16.5" customHeight="1">
      <c r="A460" s="193" t="n"/>
      <c r="B460" s="193" t="n"/>
      <c r="C460" s="193" t="n"/>
      <c r="D460" s="190" t="inlineStr">
        <is>
          <t>欣興(3037)</t>
        </is>
      </c>
      <c r="E460" s="191" t="n">
        <v>24</v>
      </c>
      <c r="F460" s="191" t="n">
        <v>16</v>
      </c>
      <c r="G460" s="191" t="n">
        <v>2543</v>
      </c>
      <c r="H460" s="191" t="n">
        <v>1634</v>
      </c>
      <c r="I460" s="191" t="n">
        <v>909</v>
      </c>
      <c r="J460" s="192" t="n">
        <v>1059.67</v>
      </c>
      <c r="K460" s="192" t="n">
        <v>1021</v>
      </c>
      <c r="L460" s="219">
        <f>F460*(K460-J460)</f>
        <v/>
      </c>
    </row>
    <row r="461" ht="16.5" customHeight="1">
      <c r="A461" s="193" t="n"/>
      <c r="B461" s="193" t="n"/>
      <c r="C461" s="193" t="n"/>
      <c r="D461" s="190" t="inlineStr">
        <is>
          <t>台玻(1802)</t>
        </is>
      </c>
      <c r="E461" s="191" t="n">
        <v>311</v>
      </c>
      <c r="F461" s="191" t="n">
        <v>242</v>
      </c>
      <c r="G461" s="191" t="n">
        <v>2275</v>
      </c>
      <c r="H461" s="191" t="n">
        <v>1748</v>
      </c>
      <c r="I461" s="191" t="n">
        <v>527</v>
      </c>
      <c r="J461" s="192" t="n">
        <v>73.14</v>
      </c>
      <c r="K461" s="192" t="n">
        <v>72.23</v>
      </c>
      <c r="L461" s="219">
        <f>F461*(K461-J461)</f>
        <v/>
      </c>
    </row>
    <row r="462" ht="16.5" customHeight="1">
      <c r="A462" s="194" t="n"/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A463" s="193" t="n"/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國巨*(2327)</t>
        </is>
      </c>
      <c r="E463" s="191" t="n">
        <v>82</v>
      </c>
      <c r="F463" s="191" t="n">
        <v>71</v>
      </c>
      <c r="G463" s="191" t="n">
        <v>9312</v>
      </c>
      <c r="H463" s="191" t="n">
        <v>8142</v>
      </c>
      <c r="I463" s="191" t="n">
        <v>1170</v>
      </c>
      <c r="J463" s="192" t="n">
        <v>1135.55</v>
      </c>
      <c r="K463" s="192" t="n">
        <v>1146.75</v>
      </c>
      <c r="L463" s="220">
        <f>F463*(K463-J463)</f>
        <v/>
      </c>
    </row>
    <row r="464" ht="16.5" customHeight="1">
      <c r="A464" s="193" t="n"/>
      <c r="B464" s="193" t="n"/>
      <c r="C464" s="193" t="n"/>
      <c r="D464" s="190" t="inlineStr">
        <is>
          <t>臻鼎-KY(4958)</t>
        </is>
      </c>
      <c r="E464" s="191" t="n">
        <v>134</v>
      </c>
      <c r="F464" s="191" t="n">
        <v>63</v>
      </c>
      <c r="G464" s="191" t="n">
        <v>8358</v>
      </c>
      <c r="H464" s="191" t="n">
        <v>3903</v>
      </c>
      <c r="I464" s="191" t="n">
        <v>4455</v>
      </c>
      <c r="J464" s="192" t="n">
        <v>623.72</v>
      </c>
      <c r="K464" s="192" t="n">
        <v>619.54</v>
      </c>
      <c r="L464" s="219">
        <f>F464*(K464-J464)</f>
        <v/>
      </c>
    </row>
    <row r="465" ht="16.5" customHeight="1">
      <c r="A465" s="193" t="n"/>
      <c r="B465" s="193" t="n"/>
      <c r="C465" s="193" t="n"/>
      <c r="D465" s="190" t="inlineStr">
        <is>
          <t>欣興(3037)</t>
        </is>
      </c>
      <c r="E465" s="191" t="n">
        <v>72</v>
      </c>
      <c r="F465" s="191" t="n">
        <v>46</v>
      </c>
      <c r="G465" s="191" t="n">
        <v>7494</v>
      </c>
      <c r="H465" s="191" t="n">
        <v>4793</v>
      </c>
      <c r="I465" s="191" t="n">
        <v>2701</v>
      </c>
      <c r="J465" s="192" t="n">
        <v>1040.9</v>
      </c>
      <c r="K465" s="192" t="n">
        <v>1041.91</v>
      </c>
      <c r="L465" s="220">
        <f>F465*(K465-J465)</f>
        <v/>
      </c>
    </row>
    <row r="466" ht="16.5" customHeight="1">
      <c r="A466" s="193" t="n"/>
      <c r="B466" s="193" t="n"/>
      <c r="C466" s="193" t="n"/>
      <c r="D466" s="190" t="inlineStr">
        <is>
          <t>友達(2409)</t>
        </is>
      </c>
      <c r="E466" s="191" t="n">
        <v>2107</v>
      </c>
      <c r="F466" s="191" t="n">
        <v>1569</v>
      </c>
      <c r="G466" s="191" t="n">
        <v>6798</v>
      </c>
      <c r="H466" s="191" t="n">
        <v>5049</v>
      </c>
      <c r="I466" s="191" t="n">
        <v>1749</v>
      </c>
      <c r="J466" s="192" t="n">
        <v>32.27</v>
      </c>
      <c r="K466" s="192" t="n">
        <v>32.18</v>
      </c>
      <c r="L466" s="219">
        <f>F466*(K466-J466)</f>
        <v/>
      </c>
    </row>
    <row r="467" ht="16.5" customHeight="1">
      <c r="A467" s="193" t="n"/>
      <c r="B467" s="193" t="n"/>
      <c r="C467" s="193" t="n"/>
      <c r="D467" s="190" t="inlineStr">
        <is>
          <t>華碩(2357)</t>
        </is>
      </c>
      <c r="E467" s="191" t="n">
        <v>103</v>
      </c>
      <c r="F467" s="191" t="n">
        <v>10</v>
      </c>
      <c r="G467" s="191" t="n">
        <v>6669</v>
      </c>
      <c r="H467" s="191" t="n">
        <v>649</v>
      </c>
      <c r="I467" s="191" t="n">
        <v>6020</v>
      </c>
      <c r="J467" s="192" t="n">
        <v>647.51</v>
      </c>
      <c r="K467" s="192" t="n">
        <v>648.6</v>
      </c>
      <c r="L467" s="220">
        <f>F467*(K467-J467)</f>
        <v/>
      </c>
    </row>
    <row r="468" ht="16.5" customHeight="1">
      <c r="A468" s="193" t="n"/>
      <c r="B468" s="193" t="n"/>
      <c r="C468" s="193" t="n"/>
      <c r="D468" s="190" t="inlineStr">
        <is>
          <t>旺宏(2337)</t>
        </is>
      </c>
      <c r="E468" s="191" t="n">
        <v>379</v>
      </c>
      <c r="F468" s="191" t="n">
        <v>342</v>
      </c>
      <c r="G468" s="191" t="n">
        <v>5442</v>
      </c>
      <c r="H468" s="191" t="n">
        <v>4913</v>
      </c>
      <c r="I468" s="191" t="n">
        <v>529</v>
      </c>
      <c r="J468" s="192" t="n">
        <v>143.59</v>
      </c>
      <c r="K468" s="192" t="n">
        <v>143.64</v>
      </c>
      <c r="L468" s="220">
        <f>F468*(K468-J468)</f>
        <v/>
      </c>
    </row>
    <row r="469" ht="16.5" customHeight="1">
      <c r="A469" s="193" t="n"/>
      <c r="B469" s="193" t="n"/>
      <c r="C469" s="193" t="n"/>
      <c r="D469" s="190" t="inlineStr">
        <is>
          <t>鴻海(2317)</t>
        </is>
      </c>
      <c r="E469" s="191" t="n">
        <v>215</v>
      </c>
      <c r="F469" s="191" t="n">
        <v>56</v>
      </c>
      <c r="G469" s="191" t="n">
        <v>5375</v>
      </c>
      <c r="H469" s="191" t="n">
        <v>1420</v>
      </c>
      <c r="I469" s="191" t="n">
        <v>3955</v>
      </c>
      <c r="J469" s="192" t="n">
        <v>250.01</v>
      </c>
      <c r="K469" s="192" t="n">
        <v>253.64</v>
      </c>
      <c r="L469" s="220">
        <f>F469*(K469-J469)</f>
        <v/>
      </c>
    </row>
    <row r="470" ht="16.5" customHeight="1">
      <c r="A470" s="193" t="n"/>
      <c r="B470" s="193" t="n"/>
      <c r="C470" s="193" t="n"/>
      <c r="D470" s="190" t="inlineStr">
        <is>
          <t>群聯(8299)</t>
        </is>
      </c>
      <c r="E470" s="191" t="n">
        <v>21</v>
      </c>
      <c r="F470" s="191" t="n">
        <v>13</v>
      </c>
      <c r="G470" s="191" t="n">
        <v>4811</v>
      </c>
      <c r="H470" s="191" t="n">
        <v>3062</v>
      </c>
      <c r="I470" s="191" t="n">
        <v>1749</v>
      </c>
      <c r="J470" s="192" t="n">
        <v>2291.14</v>
      </c>
      <c r="K470" s="192" t="n">
        <v>2355.31</v>
      </c>
      <c r="L470" s="220">
        <f>F470*(K470-J470)</f>
        <v/>
      </c>
    </row>
    <row r="471" ht="16.5" customHeight="1">
      <c r="A471" s="193" t="n"/>
      <c r="B471" s="193" t="n"/>
      <c r="C471" s="193" t="n"/>
      <c r="D471" s="190" t="inlineStr">
        <is>
          <t>穩懋(3105)</t>
        </is>
      </c>
      <c r="E471" s="191" t="n">
        <v>79</v>
      </c>
      <c r="F471" s="191" t="n">
        <v>49</v>
      </c>
      <c r="G471" s="191" t="n">
        <v>3280</v>
      </c>
      <c r="H471" s="191" t="n">
        <v>2049</v>
      </c>
      <c r="I471" s="191" t="n">
        <v>1231</v>
      </c>
      <c r="J471" s="192" t="n">
        <v>415.19</v>
      </c>
      <c r="K471" s="192" t="n">
        <v>418.18</v>
      </c>
      <c r="L471" s="220">
        <f>F471*(K471-J471)</f>
        <v/>
      </c>
    </row>
    <row r="472" ht="16.5" customHeight="1">
      <c r="A472" s="193" t="n"/>
      <c r="B472" s="193" t="n"/>
      <c r="C472" s="193" t="n"/>
      <c r="D472" s="190" t="inlineStr">
        <is>
          <t>南電(8046)</t>
        </is>
      </c>
      <c r="E472" s="191" t="n">
        <v>27</v>
      </c>
      <c r="F472" s="191" t="n">
        <v>22</v>
      </c>
      <c r="G472" s="191" t="n">
        <v>3119</v>
      </c>
      <c r="H472" s="191" t="n">
        <v>2559</v>
      </c>
      <c r="I472" s="191" t="n">
        <v>560</v>
      </c>
      <c r="J472" s="192" t="n">
        <v>1155.07</v>
      </c>
      <c r="K472" s="192" t="n">
        <v>1163.27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2026-07-01T14:37:13Z</dcterms:created>
  <dcterms:modified xsi:type="dcterms:W3CDTF">2026-07-01T14:38:35Z</dcterms:modified>
</cp:coreProperties>
</file>